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90ed5d9fa5b9970/A - Investment and Finance/"/>
    </mc:Choice>
  </mc:AlternateContent>
  <xr:revisionPtr revIDLastSave="324" documentId="11_F25DC773A252ABDACC10487AF9D945685ADE58EF" xr6:coauthVersionLast="47" xr6:coauthVersionMax="47" xr10:uidLastSave="{187FBFB5-3513-430B-8729-408C625A1BD5}"/>
  <bookViews>
    <workbookView xWindow="-120" yWindow="-120" windowWidth="29040" windowHeight="15840" xr2:uid="{00000000-000D-0000-FFFF-FFFF00000000}"/>
  </bookViews>
  <sheets>
    <sheet name="Standard Mode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38" i="2"/>
  <c r="C37" i="2"/>
  <c r="C39" i="2" l="1"/>
  <c r="K24" i="2"/>
  <c r="K25" i="2" s="1"/>
  <c r="K26" i="2" s="1"/>
  <c r="K27" i="2" s="1"/>
  <c r="K28" i="2" s="1"/>
  <c r="K29" i="2" s="1"/>
  <c r="K30" i="2" s="1"/>
  <c r="K31" i="2" s="1"/>
  <c r="K32" i="2" s="1"/>
  <c r="K33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K4" i="2"/>
  <c r="K5" i="2" s="1"/>
  <c r="E4" i="2"/>
  <c r="F4" i="2" l="1"/>
  <c r="K34" i="2"/>
  <c r="L35" i="2" s="1"/>
  <c r="L37" i="2" s="1"/>
  <c r="L14" i="2"/>
  <c r="L16" i="2" s="1"/>
  <c r="K6" i="2"/>
  <c r="K7" i="2" s="1"/>
  <c r="K8" i="2" s="1"/>
  <c r="E5" i="2"/>
  <c r="K9" i="2" l="1"/>
  <c r="K10" i="2" s="1"/>
  <c r="K11" i="2" s="1"/>
  <c r="K12" i="2" s="1"/>
  <c r="K13" i="2" s="1"/>
  <c r="K14" i="2" s="1"/>
  <c r="F5" i="2"/>
  <c r="E6" i="2"/>
  <c r="F6" i="2" l="1"/>
  <c r="E7" i="2"/>
  <c r="F7" i="2" l="1"/>
  <c r="E8" i="2"/>
  <c r="E9" i="2" l="1"/>
  <c r="F8" i="2"/>
  <c r="E10" i="2" l="1"/>
  <c r="F9" i="2"/>
  <c r="F10" i="2" l="1"/>
  <c r="E11" i="2"/>
  <c r="E12" i="2" l="1"/>
  <c r="F11" i="2"/>
  <c r="F12" i="2" l="1"/>
  <c r="E13" i="2"/>
  <c r="L15" i="2" l="1"/>
  <c r="L17" i="2" s="1"/>
  <c r="L18" i="2" s="1"/>
  <c r="F13" i="2"/>
  <c r="E14" i="2"/>
  <c r="F14" i="2" s="1"/>
  <c r="F15" i="2" l="1"/>
  <c r="F16" i="2" l="1"/>
  <c r="F17" i="2" s="1"/>
  <c r="F23" i="2" s="1"/>
  <c r="F18" i="2" l="1"/>
  <c r="F22" i="2"/>
  <c r="F21" i="2"/>
  <c r="F20" i="2"/>
  <c r="F19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<sst xmlns="http://schemas.openxmlformats.org/spreadsheetml/2006/main" count="75" uniqueCount="45">
  <si>
    <t>Margin of Safety Target Prices</t>
  </si>
  <si>
    <t>Current Margin of Safety %</t>
  </si>
  <si>
    <t>Intrinsic Value (per share)</t>
  </si>
  <si>
    <t>Intrinsic Value (billions)</t>
  </si>
  <si>
    <t>Present Value of Future Cash Flows (billions)</t>
  </si>
  <si>
    <t>Shares outstanding</t>
  </si>
  <si>
    <t>Net Cash/(Net Debt)</t>
  </si>
  <si>
    <t>Stock based compensation</t>
  </si>
  <si>
    <t>Year 0 Free Cash Flow</t>
  </si>
  <si>
    <t>Terminal Value (multiple of FCF)</t>
  </si>
  <si>
    <t>Discount Rate</t>
  </si>
  <si>
    <t>Growth rate (yrs 6 - 10)</t>
  </si>
  <si>
    <t>Growth Rate (yrs 1 -5)</t>
  </si>
  <si>
    <t>52 week low</t>
  </si>
  <si>
    <t>52 week high</t>
  </si>
  <si>
    <t>Current share price</t>
  </si>
  <si>
    <t>Stock Ticker</t>
  </si>
  <si>
    <t>Present Value</t>
  </si>
  <si>
    <t>Year</t>
  </si>
  <si>
    <t>Inputs (billions)</t>
  </si>
  <si>
    <t xml:space="preserve">Free Cash Flow </t>
  </si>
  <si>
    <t>Equity Bond with Dividends</t>
  </si>
  <si>
    <t>Growth rate Dividend (yrs 6 - 10)</t>
  </si>
  <si>
    <t>Growth Rate Dividend (yrs 1 -5)</t>
  </si>
  <si>
    <t>Dividends</t>
  </si>
  <si>
    <t>Future Value of Shares (if sold)</t>
  </si>
  <si>
    <t>Future Value of Dividends</t>
  </si>
  <si>
    <t>Year 0 Free Dividend (per Share)</t>
  </si>
  <si>
    <t>Future Total Value</t>
  </si>
  <si>
    <t>Equity Bond Return Rate</t>
  </si>
  <si>
    <t>Equity Bond without Dividends</t>
  </si>
  <si>
    <t>DCF Model Without Dividends</t>
  </si>
  <si>
    <t>Inputs</t>
  </si>
  <si>
    <t>Normalised ROA</t>
  </si>
  <si>
    <t>Normalised Assets/equity</t>
  </si>
  <si>
    <t>Payout Ratio</t>
  </si>
  <si>
    <t>Current Price/Book</t>
  </si>
  <si>
    <t>Future Price/Book</t>
  </si>
  <si>
    <t>Years of multiple expansion</t>
  </si>
  <si>
    <t>Expected Return (CAGR)</t>
  </si>
  <si>
    <t>Book Value Growth</t>
  </si>
  <si>
    <t>Multiple Expansion</t>
  </si>
  <si>
    <t>Dividend</t>
  </si>
  <si>
    <t>Total</t>
  </si>
  <si>
    <t>Simple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</si>
</sst>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0.000"/>
    <numFmt numFmtId="166" formatCode="_([$$-409]* #,##0.00_);_([$$-409]* \(#,##0.00\);_([$$-409]* &quot;-&quot;??_);_(@_)"/>
    <numFmt numFmtId="167" formatCode="_-&quot;$&quot;* #,##0.00_-;\-&quot;$&quot;* #,##0.00_-;_-&quot;$&quot;* &quot;-&quot;??_-;_-@"/>
    <numFmt numFmtId="168" formatCode="_-&quot;$&quot;* #,##0.00_-;\-&quot;$&quot;* #,##0.00_-;_-&quot;$&quot;* &quot;-&quot;??_-;_-@_-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168" fontId="8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1"/>
    <xf numFmtId="164" fontId="2" fillId="0" borderId="1" xfId="1" applyNumberFormat="1" applyFont="1" applyBorder="1"/>
    <xf numFmtId="9" fontId="2" fillId="0" borderId="2" xfId="1" applyNumberFormat="1" applyFont="1" applyBorder="1"/>
    <xf numFmtId="0" fontId="2" fillId="0" borderId="3" xfId="1" applyFont="1" applyBorder="1"/>
    <xf numFmtId="0" fontId="2" fillId="0" borderId="4" xfId="1" applyFont="1" applyBorder="1"/>
    <xf numFmtId="164" fontId="2" fillId="0" borderId="5" xfId="1" applyNumberFormat="1" applyFont="1" applyBorder="1"/>
    <xf numFmtId="9" fontId="2" fillId="0" borderId="6" xfId="1" applyNumberFormat="1" applyFont="1" applyBorder="1"/>
    <xf numFmtId="0" fontId="2" fillId="0" borderId="7" xfId="1" applyFont="1" applyBorder="1"/>
    <xf numFmtId="9" fontId="2" fillId="0" borderId="8" xfId="1" applyNumberFormat="1" applyFont="1" applyBorder="1"/>
    <xf numFmtId="9" fontId="2" fillId="2" borderId="9" xfId="1" applyNumberFormat="1" applyFont="1" applyFill="1" applyBorder="1"/>
    <xf numFmtId="164" fontId="2" fillId="3" borderId="12" xfId="1" applyNumberFormat="1" applyFont="1" applyFill="1" applyBorder="1"/>
    <xf numFmtId="164" fontId="2" fillId="4" borderId="9" xfId="1" applyNumberFormat="1" applyFont="1" applyFill="1" applyBorder="1"/>
    <xf numFmtId="164" fontId="2" fillId="5" borderId="9" xfId="1" applyNumberFormat="1" applyFont="1" applyFill="1" applyBorder="1"/>
    <xf numFmtId="165" fontId="2" fillId="6" borderId="15" xfId="1" applyNumberFormat="1" applyFont="1" applyFill="1" applyBorder="1"/>
    <xf numFmtId="0" fontId="2" fillId="6" borderId="16" xfId="1" applyFont="1" applyFill="1" applyBorder="1"/>
    <xf numFmtId="0" fontId="2" fillId="0" borderId="15" xfId="1" applyFont="1" applyBorder="1"/>
    <xf numFmtId="165" fontId="2" fillId="6" borderId="6" xfId="1" applyNumberFormat="1" applyFont="1" applyFill="1" applyBorder="1"/>
    <xf numFmtId="0" fontId="2" fillId="6" borderId="17" xfId="1" applyFont="1" applyFill="1" applyBorder="1"/>
    <xf numFmtId="0" fontId="2" fillId="6" borderId="15" xfId="1" applyFont="1" applyFill="1" applyBorder="1"/>
    <xf numFmtId="9" fontId="2" fillId="6" borderId="15" xfId="1" applyNumberFormat="1" applyFont="1" applyFill="1" applyBorder="1"/>
    <xf numFmtId="166" fontId="5" fillId="3" borderId="15" xfId="1" applyNumberFormat="1" applyFont="1" applyFill="1" applyBorder="1"/>
    <xf numFmtId="0" fontId="5" fillId="3" borderId="16" xfId="1" applyFont="1" applyFill="1" applyBorder="1"/>
    <xf numFmtId="167" fontId="5" fillId="3" borderId="15" xfId="1" applyNumberFormat="1" applyFont="1" applyFill="1" applyBorder="1"/>
    <xf numFmtId="0" fontId="2" fillId="6" borderId="15" xfId="1" applyFont="1" applyFill="1" applyBorder="1" applyAlignment="1">
      <alignment horizontal="center" vertical="center" wrapText="1"/>
    </xf>
    <xf numFmtId="0" fontId="2" fillId="6" borderId="16" xfId="1" applyFont="1" applyFill="1" applyBorder="1" applyAlignment="1">
      <alignment vertical="center"/>
    </xf>
    <xf numFmtId="0" fontId="4" fillId="0" borderId="0" xfId="1" applyFont="1" applyAlignment="1">
      <alignment wrapText="1"/>
    </xf>
    <xf numFmtId="0" fontId="4" fillId="0" borderId="19" xfId="1" applyFont="1" applyBorder="1"/>
    <xf numFmtId="0" fontId="7" fillId="0" borderId="19" xfId="1" applyFont="1" applyBorder="1"/>
    <xf numFmtId="0" fontId="7" fillId="0" borderId="18" xfId="1" applyFont="1" applyBorder="1"/>
    <xf numFmtId="0" fontId="6" fillId="6" borderId="16" xfId="1" applyFont="1" applyFill="1" applyBorder="1"/>
    <xf numFmtId="2" fontId="2" fillId="0" borderId="15" xfId="1" applyNumberFormat="1" applyFont="1" applyBorder="1"/>
    <xf numFmtId="2" fontId="2" fillId="0" borderId="9" xfId="1" applyNumberFormat="1" applyFont="1" applyBorder="1"/>
    <xf numFmtId="0" fontId="9" fillId="0" borderId="0" xfId="0" applyFont="1"/>
    <xf numFmtId="0" fontId="0" fillId="7" borderId="0" xfId="0" applyFill="1"/>
    <xf numFmtId="169" fontId="9" fillId="0" borderId="0" xfId="0" applyNumberFormat="1" applyFont="1"/>
    <xf numFmtId="9" fontId="0" fillId="7" borderId="0" xfId="0" applyNumberFormat="1" applyFill="1"/>
    <xf numFmtId="169" fontId="0" fillId="0" borderId="0" xfId="2" applyNumberFormat="1" applyFont="1" applyFill="1" applyBorder="1"/>
    <xf numFmtId="169" fontId="0" fillId="7" borderId="0" xfId="2" applyNumberFormat="1" applyFont="1" applyFill="1" applyBorder="1"/>
    <xf numFmtId="0" fontId="0" fillId="7" borderId="0" xfId="2" applyNumberFormat="1" applyFont="1" applyFill="1" applyBorder="1"/>
    <xf numFmtId="0" fontId="2" fillId="6" borderId="28" xfId="1" applyFont="1" applyFill="1" applyBorder="1"/>
    <xf numFmtId="165" fontId="2" fillId="6" borderId="29" xfId="1" applyNumberFormat="1" applyFont="1" applyFill="1" applyBorder="1"/>
    <xf numFmtId="9" fontId="2" fillId="2" borderId="32" xfId="1" applyNumberFormat="1" applyFont="1" applyFill="1" applyBorder="1"/>
    <xf numFmtId="0" fontId="6" fillId="6" borderId="28" xfId="1" applyFont="1" applyFill="1" applyBorder="1"/>
    <xf numFmtId="0" fontId="11" fillId="0" borderId="0" xfId="1" applyFont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/>
    </xf>
    <xf numFmtId="0" fontId="3" fillId="0" borderId="20" xfId="1" applyFont="1" applyBorder="1"/>
    <xf numFmtId="0" fontId="7" fillId="5" borderId="11" xfId="1" applyFont="1" applyFill="1" applyBorder="1" applyAlignment="1">
      <alignment horizontal="center"/>
    </xf>
    <xf numFmtId="0" fontId="3" fillId="0" borderId="10" xfId="1" applyFont="1" applyBorder="1"/>
    <xf numFmtId="0" fontId="7" fillId="4" borderId="11" xfId="1" applyFont="1" applyFill="1" applyBorder="1" applyAlignment="1">
      <alignment horizontal="center"/>
    </xf>
    <xf numFmtId="0" fontId="7" fillId="3" borderId="14" xfId="1" applyFont="1" applyFill="1" applyBorder="1" applyAlignment="1">
      <alignment horizontal="center"/>
    </xf>
    <xf numFmtId="0" fontId="3" fillId="0" borderId="13" xfId="1" applyFont="1" applyBorder="1"/>
    <xf numFmtId="0" fontId="7" fillId="0" borderId="30" xfId="1" applyFont="1" applyBorder="1" applyAlignment="1">
      <alignment horizontal="center"/>
    </xf>
    <xf numFmtId="0" fontId="3" fillId="0" borderId="31" xfId="1" applyFont="1" applyBorder="1"/>
    <xf numFmtId="0" fontId="4" fillId="5" borderId="11" xfId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/>
    </xf>
    <xf numFmtId="0" fontId="4" fillId="3" borderId="14" xfId="1" applyFont="1" applyFill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8" xfId="1" applyFont="1" applyBorder="1" applyAlignment="1">
      <alignment horizontal="center" vertical="center" wrapText="1"/>
    </xf>
    <xf numFmtId="0" fontId="3" fillId="0" borderId="6" xfId="1" applyFont="1" applyBorder="1"/>
    <xf numFmtId="0" fontId="3" fillId="0" borderId="2" xfId="1" applyFont="1" applyBorder="1"/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2" fontId="2" fillId="0" borderId="11" xfId="1" applyNumberFormat="1" applyFont="1" applyBorder="1" applyAlignment="1">
      <alignment horizontal="center"/>
    </xf>
    <xf numFmtId="2" fontId="2" fillId="0" borderId="25" xfId="1" applyNumberFormat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7" fillId="0" borderId="1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9" fontId="2" fillId="2" borderId="12" xfId="1" applyNumberFormat="1" applyFont="1" applyFill="1" applyBorder="1" applyAlignment="1">
      <alignment horizontal="center" vertical="center"/>
    </xf>
    <xf numFmtId="9" fontId="2" fillId="2" borderId="35" xfId="1" applyNumberFormat="1" applyFont="1" applyFill="1" applyBorder="1" applyAlignment="1">
      <alignment horizontal="center" vertical="center"/>
    </xf>
    <xf numFmtId="0" fontId="7" fillId="5" borderId="14" xfId="1" applyFont="1" applyFill="1" applyBorder="1" applyAlignment="1">
      <alignment horizontal="center" vertical="center"/>
    </xf>
    <xf numFmtId="0" fontId="7" fillId="5" borderId="13" xfId="1" applyFont="1" applyFill="1" applyBorder="1" applyAlignment="1">
      <alignment horizontal="center" vertical="center"/>
    </xf>
    <xf numFmtId="0" fontId="7" fillId="5" borderId="22" xfId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/>
    </xf>
    <xf numFmtId="164" fontId="2" fillId="5" borderId="12" xfId="1" applyNumberFormat="1" applyFont="1" applyFill="1" applyBorder="1" applyAlignment="1">
      <alignment horizontal="center" vertical="center"/>
    </xf>
    <xf numFmtId="164" fontId="2" fillId="5" borderId="27" xfId="1" applyNumberFormat="1" applyFont="1" applyFill="1" applyBorder="1" applyAlignment="1">
      <alignment horizontal="center" vertical="center"/>
    </xf>
  </cellXfs>
  <cellStyles count="4">
    <cellStyle name="Currency 2" xfId="3" xr:uid="{3C1506AE-3A46-4396-AC9A-38BC84C796EB}"/>
    <cellStyle name="Normal" xfId="0" builtinId="0"/>
    <cellStyle name="Normal 2" xfId="1" xr:uid="{FFE5BE9B-6D23-4637-BF71-A5C6EBA1AFDE}"/>
    <cellStyle name="Percent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FCBFE8-2079-450B-8D9A-75814652376B}">
  <we:reference id="wa104379220" version="8.0.0.0" store="en-US" storeType="OMEX"/>
  <we:alternateReferences>
    <we:reference id="WA104379220" version="8.0.0.0" store="" storeType="OMEX"/>
  </we:alternateReferences>
  <we:properties>
    <we:property name="Office.AutoShowTaskpaneWithDocument" value="true"/>
    <we:property name="lastCryptoCompare" value="0"/>
    <we:property name="lastIexCall" value="1767350541689"/>
    <we:property name="lastMutualFundsCall" value="0"/>
    <we:property name="stocks" value="{}"/>
    <we:property name="stocksChange" value="{}"/>
    <we:property name="stocksOrder" value="[]"/>
    <we:property name="stocksSources" value="{}"/>
    <we:property name="updateIntervalIndex" value="2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3A84-C611-4B0C-A77A-057689DE1768}">
  <dimension ref="A1:L1000"/>
  <sheetViews>
    <sheetView tabSelected="1" workbookViewId="0">
      <selection activeCell="C8" sqref="C8"/>
    </sheetView>
  </sheetViews>
  <sheetFormatPr defaultColWidth="14.42578125" defaultRowHeight="15" customHeight="1" x14ac:dyDescent="0.25"/>
  <cols>
    <col min="1" max="1" width="14.28515625" style="1" customWidth="1"/>
    <col min="2" max="2" width="35.7109375" style="1" customWidth="1"/>
    <col min="3" max="3" width="14.28515625" style="1" customWidth="1"/>
    <col min="4" max="6" width="21.42578125" style="1" customWidth="1"/>
    <col min="7" max="7" width="14.28515625" style="1" customWidth="1"/>
    <col min="8" max="8" width="35.7109375" style="1" customWidth="1"/>
    <col min="9" max="9" width="14.28515625" style="1" customWidth="1"/>
    <col min="10" max="12" width="21.42578125" style="1" customWidth="1"/>
    <col min="13" max="26" width="8.7109375" style="1" customWidth="1"/>
    <col min="27" max="16384" width="14.42578125" style="1"/>
  </cols>
  <sheetData>
    <row r="1" spans="1:12" ht="14.25" customHeight="1" x14ac:dyDescent="0.25">
      <c r="B1" s="44" t="s">
        <v>31</v>
      </c>
      <c r="C1" s="44"/>
      <c r="D1" s="44"/>
      <c r="E1" s="44"/>
      <c r="F1" s="44"/>
      <c r="H1" s="44" t="s">
        <v>21</v>
      </c>
      <c r="I1" s="44"/>
      <c r="J1" s="44"/>
      <c r="K1" s="44"/>
      <c r="L1" s="44"/>
    </row>
    <row r="2" spans="1:12" ht="14.25" customHeight="1" thickBot="1" x14ac:dyDescent="0.3">
      <c r="B2" s="45"/>
      <c r="C2" s="45"/>
      <c r="D2" s="45"/>
      <c r="E2" s="45"/>
      <c r="F2" s="45"/>
      <c r="H2" s="45"/>
      <c r="I2" s="45"/>
      <c r="J2" s="45"/>
      <c r="K2" s="45"/>
      <c r="L2" s="45"/>
    </row>
    <row r="3" spans="1:12" ht="14.25" customHeight="1" x14ac:dyDescent="0.25">
      <c r="B3" s="46" t="s">
        <v>19</v>
      </c>
      <c r="C3" s="47"/>
      <c r="D3" s="27" t="s">
        <v>18</v>
      </c>
      <c r="E3" s="28" t="s">
        <v>20</v>
      </c>
      <c r="F3" s="29" t="s">
        <v>17</v>
      </c>
      <c r="H3" s="46" t="s">
        <v>19</v>
      </c>
      <c r="I3" s="47"/>
      <c r="J3" s="27" t="s">
        <v>18</v>
      </c>
      <c r="K3" s="28" t="s">
        <v>20</v>
      </c>
      <c r="L3" s="29" t="s">
        <v>24</v>
      </c>
    </row>
    <row r="4" spans="1:12" ht="48.75" customHeight="1" x14ac:dyDescent="0.25">
      <c r="A4" s="26"/>
      <c r="B4" s="25" t="s">
        <v>16</v>
      </c>
      <c r="C4" s="24" t="e" vm="1">
        <v>#VALUE!</v>
      </c>
      <c r="D4" s="16">
        <v>1</v>
      </c>
      <c r="E4" s="31">
        <f>(C12-C13)*(1+C8)</f>
        <v>3.5999999999999996</v>
      </c>
      <c r="F4" s="32">
        <f t="shared" ref="F4:F14" si="0">E4/(1+$C$10)^D4</f>
        <v>3.1304347826086958</v>
      </c>
      <c r="H4" s="25" t="s">
        <v>16</v>
      </c>
      <c r="I4" s="24" t="e" vm="1">
        <v>#VALUE!</v>
      </c>
      <c r="J4" s="16">
        <v>1</v>
      </c>
      <c r="K4" s="31">
        <f>(I14-I16)*(1+I8)</f>
        <v>1.1000000000000001</v>
      </c>
      <c r="L4" s="32">
        <f>(I15)*(1+I10)</f>
        <v>0</v>
      </c>
    </row>
    <row r="5" spans="1:12" ht="14.25" customHeight="1" x14ac:dyDescent="0.25">
      <c r="B5" s="22" t="s">
        <v>15</v>
      </c>
      <c r="C5" s="23">
        <v>68.09</v>
      </c>
      <c r="D5" s="16">
        <v>2</v>
      </c>
      <c r="E5" s="31">
        <f>E4+(E4*$C$8)</f>
        <v>4.3199999999999994</v>
      </c>
      <c r="F5" s="32">
        <f t="shared" si="0"/>
        <v>3.2665406427221173</v>
      </c>
      <c r="H5" s="22" t="s">
        <v>15</v>
      </c>
      <c r="I5" s="23">
        <v>92.5</v>
      </c>
      <c r="J5" s="16">
        <v>2</v>
      </c>
      <c r="K5" s="31">
        <f>K4+(K4*$I$8)</f>
        <v>1.2100000000000002</v>
      </c>
      <c r="L5" s="32">
        <f>L4+(L4*$I$10)</f>
        <v>0</v>
      </c>
    </row>
    <row r="6" spans="1:12" ht="14.25" customHeight="1" x14ac:dyDescent="0.25">
      <c r="B6" s="22" t="s">
        <v>14</v>
      </c>
      <c r="C6" s="21"/>
      <c r="D6" s="16">
        <v>3</v>
      </c>
      <c r="E6" s="31">
        <f>E5+(E5*$C$8)</f>
        <v>5.1839999999999993</v>
      </c>
      <c r="F6" s="32">
        <f t="shared" si="0"/>
        <v>3.4085641489274274</v>
      </c>
      <c r="H6" s="22" t="s">
        <v>14</v>
      </c>
      <c r="I6" s="21"/>
      <c r="J6" s="16">
        <v>3</v>
      </c>
      <c r="K6" s="31">
        <f>K5+(K5*$I$8)</f>
        <v>1.3310000000000002</v>
      </c>
      <c r="L6" s="32">
        <f t="shared" ref="L6:L8" si="1">L5+(L5*$I$10)</f>
        <v>0</v>
      </c>
    </row>
    <row r="7" spans="1:12" ht="14.25" customHeight="1" x14ac:dyDescent="0.25">
      <c r="B7" s="22" t="s">
        <v>13</v>
      </c>
      <c r="C7" s="21"/>
      <c r="D7" s="16">
        <v>4</v>
      </c>
      <c r="E7" s="31">
        <f>E6+(E6*$C$8)</f>
        <v>6.2207999999999988</v>
      </c>
      <c r="F7" s="32">
        <f t="shared" si="0"/>
        <v>3.5567625901851412</v>
      </c>
      <c r="H7" s="22" t="s">
        <v>13</v>
      </c>
      <c r="I7" s="21"/>
      <c r="J7" s="16">
        <v>4</v>
      </c>
      <c r="K7" s="31">
        <f>K6+(K6*$I$8)</f>
        <v>1.4641000000000002</v>
      </c>
      <c r="L7" s="32">
        <f t="shared" si="1"/>
        <v>0</v>
      </c>
    </row>
    <row r="8" spans="1:12" ht="14.25" customHeight="1" x14ac:dyDescent="0.25">
      <c r="B8" s="15" t="s">
        <v>12</v>
      </c>
      <c r="C8" s="20">
        <v>0.2</v>
      </c>
      <c r="D8" s="16">
        <v>5</v>
      </c>
      <c r="E8" s="31">
        <f>E7+(E7*$C$8)</f>
        <v>7.4649599999999987</v>
      </c>
      <c r="F8" s="32">
        <f t="shared" si="0"/>
        <v>3.7114044419323213</v>
      </c>
      <c r="H8" s="15" t="s">
        <v>12</v>
      </c>
      <c r="I8" s="20">
        <v>0.1</v>
      </c>
      <c r="J8" s="16">
        <v>5</v>
      </c>
      <c r="K8" s="31">
        <f>K7+(K7*$I$8)</f>
        <v>1.6105100000000001</v>
      </c>
      <c r="L8" s="32">
        <f t="shared" si="1"/>
        <v>0</v>
      </c>
    </row>
    <row r="9" spans="1:12" ht="14.25" customHeight="1" x14ac:dyDescent="0.25">
      <c r="B9" s="15" t="s">
        <v>11</v>
      </c>
      <c r="C9" s="20">
        <v>0.15</v>
      </c>
      <c r="D9" s="16">
        <v>6</v>
      </c>
      <c r="E9" s="31">
        <f>E8+(E8*$C$9)</f>
        <v>8.5847039999999986</v>
      </c>
      <c r="F9" s="32">
        <f t="shared" si="0"/>
        <v>3.7114044419323218</v>
      </c>
      <c r="H9" s="15" t="s">
        <v>11</v>
      </c>
      <c r="I9" s="20">
        <v>0.1</v>
      </c>
      <c r="J9" s="16">
        <v>6</v>
      </c>
      <c r="K9" s="31">
        <f>K8+(K8*$I$9)</f>
        <v>1.7715610000000002</v>
      </c>
      <c r="L9" s="32">
        <f>L8+(L8*$I$11)</f>
        <v>0</v>
      </c>
    </row>
    <row r="10" spans="1:12" ht="14.25" customHeight="1" x14ac:dyDescent="0.25">
      <c r="B10" s="15" t="s">
        <v>10</v>
      </c>
      <c r="C10" s="20">
        <v>0.15</v>
      </c>
      <c r="D10" s="16">
        <v>7</v>
      </c>
      <c r="E10" s="31">
        <f>E9+(E9*$C$9)</f>
        <v>9.8724095999999975</v>
      </c>
      <c r="F10" s="32">
        <f t="shared" si="0"/>
        <v>3.7114044419323222</v>
      </c>
      <c r="H10" s="30" t="s">
        <v>23</v>
      </c>
      <c r="I10" s="20">
        <v>0</v>
      </c>
      <c r="J10" s="16">
        <v>7</v>
      </c>
      <c r="K10" s="31">
        <f>K9+(K9*$I$9)</f>
        <v>1.9487171000000001</v>
      </c>
      <c r="L10" s="32">
        <f t="shared" ref="L10:L13" si="2">L9+(L9*$I$11)</f>
        <v>0</v>
      </c>
    </row>
    <row r="11" spans="1:12" ht="14.25" customHeight="1" x14ac:dyDescent="0.25">
      <c r="B11" s="15" t="s">
        <v>9</v>
      </c>
      <c r="C11" s="19">
        <v>10</v>
      </c>
      <c r="D11" s="16">
        <v>8</v>
      </c>
      <c r="E11" s="31">
        <f>E10+(E10*$C$9)</f>
        <v>11.353271039999997</v>
      </c>
      <c r="F11" s="32">
        <f t="shared" si="0"/>
        <v>3.7114044419323227</v>
      </c>
      <c r="H11" s="30" t="s">
        <v>22</v>
      </c>
      <c r="I11" s="20">
        <v>0</v>
      </c>
      <c r="J11" s="16">
        <v>8</v>
      </c>
      <c r="K11" s="31">
        <f>K10+(K10*$I$9)</f>
        <v>2.1435888100000002</v>
      </c>
      <c r="L11" s="32">
        <f t="shared" si="2"/>
        <v>0</v>
      </c>
    </row>
    <row r="12" spans="1:12" ht="14.25" customHeight="1" x14ac:dyDescent="0.25">
      <c r="B12" s="15" t="s">
        <v>8</v>
      </c>
      <c r="C12" s="14">
        <v>3</v>
      </c>
      <c r="D12" s="16">
        <v>9</v>
      </c>
      <c r="E12" s="31">
        <f>E11+(E11*$C$9)</f>
        <v>13.056261695999996</v>
      </c>
      <c r="F12" s="32">
        <f t="shared" si="0"/>
        <v>3.7114044419323227</v>
      </c>
      <c r="H12" s="15"/>
      <c r="I12" s="20"/>
      <c r="J12" s="16">
        <v>9</v>
      </c>
      <c r="K12" s="31">
        <f>K11+(K11*$I$9)</f>
        <v>2.3579476910000001</v>
      </c>
      <c r="L12" s="32">
        <f t="shared" si="2"/>
        <v>0</v>
      </c>
    </row>
    <row r="13" spans="1:12" ht="14.25" customHeight="1" x14ac:dyDescent="0.25">
      <c r="B13" s="18" t="s">
        <v>7</v>
      </c>
      <c r="C13" s="17">
        <v>0</v>
      </c>
      <c r="D13" s="16">
        <v>10</v>
      </c>
      <c r="E13" s="31">
        <f>E12+(E12*$C$9)</f>
        <v>15.014700950399996</v>
      </c>
      <c r="F13" s="32">
        <f t="shared" si="0"/>
        <v>3.7114044419323231</v>
      </c>
      <c r="H13" s="15" t="s">
        <v>9</v>
      </c>
      <c r="I13" s="19">
        <v>10</v>
      </c>
      <c r="J13" s="16">
        <v>10</v>
      </c>
      <c r="K13" s="31">
        <f>K12+(K12*$I$9)</f>
        <v>2.5937424601000001</v>
      </c>
      <c r="L13" s="32">
        <f t="shared" si="2"/>
        <v>0</v>
      </c>
    </row>
    <row r="14" spans="1:12" ht="14.25" customHeight="1" x14ac:dyDescent="0.25">
      <c r="B14" s="15" t="s">
        <v>6</v>
      </c>
      <c r="C14" s="14">
        <v>0</v>
      </c>
      <c r="D14" s="16">
        <v>10</v>
      </c>
      <c r="E14" s="31">
        <f>E13*C11</f>
        <v>150.14700950399995</v>
      </c>
      <c r="F14" s="32">
        <f t="shared" si="0"/>
        <v>37.114044419323228</v>
      </c>
      <c r="H14" s="15" t="s">
        <v>8</v>
      </c>
      <c r="I14" s="14">
        <v>1</v>
      </c>
      <c r="J14" s="16">
        <v>10</v>
      </c>
      <c r="K14" s="31">
        <f>(K13*I13)+I17</f>
        <v>25.937424601</v>
      </c>
      <c r="L14" s="32">
        <f>SUM(L4:L12)</f>
        <v>0</v>
      </c>
    </row>
    <row r="15" spans="1:12" ht="14.25" customHeight="1" x14ac:dyDescent="0.25">
      <c r="B15" s="15" t="s">
        <v>5</v>
      </c>
      <c r="C15" s="14">
        <v>1.1642600000000001</v>
      </c>
      <c r="D15" s="55" t="s">
        <v>4</v>
      </c>
      <c r="E15" s="49"/>
      <c r="F15" s="13">
        <f>SUM(F4:F14)</f>
        <v>72.744773235360555</v>
      </c>
      <c r="H15" s="30" t="s">
        <v>27</v>
      </c>
      <c r="I15" s="14">
        <v>0</v>
      </c>
      <c r="J15" s="48" t="s">
        <v>25</v>
      </c>
      <c r="K15" s="49"/>
      <c r="L15" s="13">
        <f>K14/I18</f>
        <v>463.16829644642854</v>
      </c>
    </row>
    <row r="16" spans="1:12" ht="14.25" customHeight="1" x14ac:dyDescent="0.25">
      <c r="B16" s="8"/>
      <c r="D16" s="56" t="s">
        <v>3</v>
      </c>
      <c r="E16" s="49"/>
      <c r="F16" s="12">
        <f>F15+C14</f>
        <v>72.744773235360555</v>
      </c>
      <c r="H16" s="18" t="s">
        <v>7</v>
      </c>
      <c r="I16" s="17">
        <v>0</v>
      </c>
      <c r="J16" s="50" t="s">
        <v>26</v>
      </c>
      <c r="K16" s="49"/>
      <c r="L16" s="12">
        <f>L14</f>
        <v>0</v>
      </c>
    </row>
    <row r="17" spans="2:12" ht="14.25" customHeight="1" x14ac:dyDescent="0.25">
      <c r="B17" s="8"/>
      <c r="D17" s="57" t="s">
        <v>2</v>
      </c>
      <c r="E17" s="52"/>
      <c r="F17" s="11">
        <f>F16/C15</f>
        <v>62.481553291670721</v>
      </c>
      <c r="H17" s="15" t="s">
        <v>6</v>
      </c>
      <c r="I17" s="14">
        <v>0</v>
      </c>
      <c r="J17" s="51" t="s">
        <v>28</v>
      </c>
      <c r="K17" s="52"/>
      <c r="L17" s="11">
        <f>L15+L16</f>
        <v>463.16829644642854</v>
      </c>
    </row>
    <row r="18" spans="2:12" ht="14.25" customHeight="1" thickBot="1" x14ac:dyDescent="0.3">
      <c r="B18" s="8"/>
      <c r="D18" s="58" t="s">
        <v>1</v>
      </c>
      <c r="E18" s="49"/>
      <c r="F18" s="10">
        <f>1-(C5/F17)</f>
        <v>-8.9761640242015828E-2</v>
      </c>
      <c r="H18" s="40" t="s">
        <v>5</v>
      </c>
      <c r="I18" s="41">
        <v>5.6000000000000001E-2</v>
      </c>
      <c r="J18" s="53" t="s">
        <v>29</v>
      </c>
      <c r="K18" s="54"/>
      <c r="L18" s="42">
        <f>((L17/I5)^(1/10))-1</f>
        <v>0.17478856118582065</v>
      </c>
    </row>
    <row r="19" spans="2:12" ht="14.25" customHeight="1" x14ac:dyDescent="0.25">
      <c r="B19" s="8"/>
      <c r="D19" s="59" t="s">
        <v>0</v>
      </c>
      <c r="E19" s="9">
        <v>0.1</v>
      </c>
      <c r="F19" s="6">
        <f>$F$17*(1-E19)</f>
        <v>56.233397962503652</v>
      </c>
      <c r="H19"/>
      <c r="I19"/>
      <c r="J19"/>
      <c r="K19"/>
      <c r="L19"/>
    </row>
    <row r="20" spans="2:12" ht="14.25" customHeight="1" x14ac:dyDescent="0.25">
      <c r="B20" s="8"/>
      <c r="D20" s="60"/>
      <c r="E20" s="7">
        <v>0.2</v>
      </c>
      <c r="F20" s="6">
        <f>$F$17*(1-E20)</f>
        <v>49.985242633336583</v>
      </c>
      <c r="H20"/>
      <c r="I20"/>
      <c r="J20"/>
      <c r="K20"/>
      <c r="L20"/>
    </row>
    <row r="21" spans="2:12" ht="14.25" customHeight="1" x14ac:dyDescent="0.25">
      <c r="B21" s="8"/>
      <c r="D21" s="60"/>
      <c r="E21" s="7">
        <v>0.3</v>
      </c>
      <c r="F21" s="6">
        <f>$F$17*(1-E21)</f>
        <v>43.737087304169499</v>
      </c>
      <c r="H21" s="44" t="s">
        <v>30</v>
      </c>
      <c r="I21" s="44"/>
      <c r="J21" s="44"/>
      <c r="K21" s="44"/>
      <c r="L21" s="44"/>
    </row>
    <row r="22" spans="2:12" ht="14.25" customHeight="1" thickBot="1" x14ac:dyDescent="0.3">
      <c r="B22" s="8"/>
      <c r="D22" s="60"/>
      <c r="E22" s="7">
        <v>0.4</v>
      </c>
      <c r="F22" s="6">
        <f>$F$17*(1-E22)</f>
        <v>37.48893197500243</v>
      </c>
      <c r="H22" s="45"/>
      <c r="I22" s="45"/>
      <c r="J22" s="45"/>
      <c r="K22" s="45"/>
      <c r="L22" s="45"/>
    </row>
    <row r="23" spans="2:12" ht="14.25" customHeight="1" thickBot="1" x14ac:dyDescent="0.3">
      <c r="B23" s="5"/>
      <c r="C23" s="4"/>
      <c r="D23" s="61"/>
      <c r="E23" s="3">
        <v>0.5</v>
      </c>
      <c r="F23" s="2">
        <f>$F$17*(1-E23)</f>
        <v>31.240776645835361</v>
      </c>
      <c r="H23" s="46" t="s">
        <v>19</v>
      </c>
      <c r="I23" s="47"/>
      <c r="J23" s="27" t="s">
        <v>18</v>
      </c>
      <c r="K23" s="62" t="s">
        <v>20</v>
      </c>
      <c r="L23" s="63"/>
    </row>
    <row r="24" spans="2:12" ht="14.25" customHeight="1" x14ac:dyDescent="0.25">
      <c r="H24" s="25" t="s">
        <v>16</v>
      </c>
      <c r="I24" s="24" t="e" vm="1">
        <v>#VALUE!</v>
      </c>
      <c r="J24" s="16">
        <v>1</v>
      </c>
      <c r="K24" s="64">
        <f>(I32-I33)*(1+I28)</f>
        <v>550</v>
      </c>
      <c r="L24" s="65"/>
    </row>
    <row r="25" spans="2:12" ht="14.25" customHeight="1" x14ac:dyDescent="0.25">
      <c r="H25" s="22" t="s">
        <v>15</v>
      </c>
      <c r="I25" s="23">
        <v>525</v>
      </c>
      <c r="J25" s="16">
        <v>2</v>
      </c>
      <c r="K25" s="64">
        <f>K24+(K24*$I$28)</f>
        <v>605</v>
      </c>
      <c r="L25" s="65"/>
    </row>
    <row r="26" spans="2:12" ht="14.25" customHeight="1" x14ac:dyDescent="0.25">
      <c r="B26" s="66" t="s">
        <v>44</v>
      </c>
      <c r="C26" s="66"/>
      <c r="H26" s="22" t="s">
        <v>14</v>
      </c>
      <c r="I26" s="21"/>
      <c r="J26" s="16">
        <v>3</v>
      </c>
      <c r="K26" s="64">
        <f>K25+(K25*$I$28)</f>
        <v>665.5</v>
      </c>
      <c r="L26" s="65"/>
    </row>
    <row r="27" spans="2:12" ht="14.25" customHeight="1" x14ac:dyDescent="0.25">
      <c r="B27" s="33" t="s">
        <v>32</v>
      </c>
      <c r="C27"/>
      <c r="H27" s="22" t="s">
        <v>13</v>
      </c>
      <c r="I27" s="21"/>
      <c r="J27" s="16">
        <v>4</v>
      </c>
      <c r="K27" s="64">
        <f>K26+(K26*$I$28)</f>
        <v>732.05</v>
      </c>
      <c r="L27" s="65"/>
    </row>
    <row r="28" spans="2:12" ht="14.25" customHeight="1" x14ac:dyDescent="0.25">
      <c r="B28" s="34" t="s">
        <v>33</v>
      </c>
      <c r="C28" s="38">
        <v>1.4999999999999999E-2</v>
      </c>
      <c r="H28" s="15" t="s">
        <v>12</v>
      </c>
      <c r="I28" s="20">
        <v>0.1</v>
      </c>
      <c r="J28" s="16">
        <v>5</v>
      </c>
      <c r="K28" s="64">
        <f>K27+(K27*$I$28)</f>
        <v>805.255</v>
      </c>
      <c r="L28" s="65"/>
    </row>
    <row r="29" spans="2:12" ht="14.25" customHeight="1" x14ac:dyDescent="0.25">
      <c r="B29" s="34" t="s">
        <v>34</v>
      </c>
      <c r="C29" s="34">
        <v>8</v>
      </c>
      <c r="H29" s="15" t="s">
        <v>11</v>
      </c>
      <c r="I29" s="20">
        <v>0.1</v>
      </c>
      <c r="J29" s="16">
        <v>6</v>
      </c>
      <c r="K29" s="64">
        <f>K28+(K28*$I$29)</f>
        <v>885.78049999999996</v>
      </c>
      <c r="L29" s="65"/>
    </row>
    <row r="30" spans="2:12" ht="14.25" customHeight="1" x14ac:dyDescent="0.25">
      <c r="B30" s="34" t="s">
        <v>35</v>
      </c>
      <c r="C30" s="36">
        <v>0.09</v>
      </c>
      <c r="H30" s="15"/>
      <c r="I30" s="20"/>
      <c r="J30" s="16">
        <v>7</v>
      </c>
      <c r="K30" s="64">
        <f>K29+(K29*$I$29)</f>
        <v>974.35854999999992</v>
      </c>
      <c r="L30" s="65"/>
    </row>
    <row r="31" spans="2:12" ht="14.25" customHeight="1" x14ac:dyDescent="0.25">
      <c r="B31" s="34" t="s">
        <v>36</v>
      </c>
      <c r="C31" s="39">
        <v>1.62</v>
      </c>
      <c r="H31" s="15" t="s">
        <v>9</v>
      </c>
      <c r="I31" s="19">
        <v>10</v>
      </c>
      <c r="J31" s="16">
        <v>8</v>
      </c>
      <c r="K31" s="64">
        <f>K30+(K30*$I$29)</f>
        <v>1071.7944049999999</v>
      </c>
      <c r="L31" s="65"/>
    </row>
    <row r="32" spans="2:12" ht="14.25" customHeight="1" x14ac:dyDescent="0.25">
      <c r="B32" s="34" t="s">
        <v>37</v>
      </c>
      <c r="C32" s="39">
        <v>1.62</v>
      </c>
      <c r="H32" s="15" t="s">
        <v>8</v>
      </c>
      <c r="I32" s="14">
        <v>500</v>
      </c>
      <c r="J32" s="16">
        <v>9</v>
      </c>
      <c r="K32" s="64">
        <f>K31+(K31*$I$29)</f>
        <v>1178.9738454999999</v>
      </c>
      <c r="L32" s="65"/>
    </row>
    <row r="33" spans="2:12" ht="14.25" customHeight="1" x14ac:dyDescent="0.25">
      <c r="B33" s="34" t="s">
        <v>38</v>
      </c>
      <c r="C33" s="34">
        <v>1</v>
      </c>
      <c r="H33" s="18" t="s">
        <v>7</v>
      </c>
      <c r="I33" s="17">
        <v>0</v>
      </c>
      <c r="J33" s="16">
        <v>10</v>
      </c>
      <c r="K33" s="64">
        <f>K32+(K32*$I$29)</f>
        <v>1296.8712300499999</v>
      </c>
      <c r="L33" s="65"/>
    </row>
    <row r="34" spans="2:12" ht="14.25" customHeight="1" x14ac:dyDescent="0.25">
      <c r="B34"/>
      <c r="C34"/>
      <c r="H34" s="15" t="s">
        <v>6</v>
      </c>
      <c r="I34" s="14">
        <v>0</v>
      </c>
      <c r="J34" s="16">
        <v>10</v>
      </c>
      <c r="K34" s="64">
        <f>(K33*I31)+I34</f>
        <v>12968.712300499999</v>
      </c>
      <c r="L34" s="65"/>
    </row>
    <row r="35" spans="2:12" ht="14.25" customHeight="1" x14ac:dyDescent="0.25">
      <c r="B35" s="33" t="s">
        <v>39</v>
      </c>
      <c r="C35"/>
      <c r="H35" s="15" t="s">
        <v>5</v>
      </c>
      <c r="I35" s="14">
        <v>12.276999999999999</v>
      </c>
      <c r="J35" s="73" t="s">
        <v>25</v>
      </c>
      <c r="K35" s="74"/>
      <c r="L35" s="77">
        <f>K34/I35</f>
        <v>1056.3421275963183</v>
      </c>
    </row>
    <row r="36" spans="2:12" ht="14.25" customHeight="1" x14ac:dyDescent="0.25">
      <c r="B36" t="s">
        <v>40</v>
      </c>
      <c r="C36" s="37">
        <f>(C28*C29)-(C28*C29*C30)</f>
        <v>0.10919999999999999</v>
      </c>
      <c r="H36" s="30"/>
      <c r="I36" s="14"/>
      <c r="J36" s="75"/>
      <c r="K36" s="76"/>
      <c r="L36" s="78"/>
    </row>
    <row r="37" spans="2:12" ht="14.25" customHeight="1" x14ac:dyDescent="0.25">
      <c r="B37" t="s">
        <v>41</v>
      </c>
      <c r="C37" s="37">
        <f>_xlfn.RRI(C33,C31,C32)</f>
        <v>0</v>
      </c>
      <c r="H37" s="30"/>
      <c r="I37" s="14"/>
      <c r="J37" s="67" t="s">
        <v>29</v>
      </c>
      <c r="K37" s="68"/>
      <c r="L37" s="71">
        <f>((L35/I25)^(1/10))-1</f>
        <v>7.2419073862348915E-2</v>
      </c>
    </row>
    <row r="38" spans="2:12" ht="14.25" customHeight="1" thickBot="1" x14ac:dyDescent="0.3">
      <c r="B38" t="s">
        <v>42</v>
      </c>
      <c r="C38" s="37">
        <f>(C28*C29*C30)*(1/C31)</f>
        <v>6.6666666666666654E-3</v>
      </c>
      <c r="H38" s="43"/>
      <c r="I38" s="41"/>
      <c r="J38" s="69"/>
      <c r="K38" s="70"/>
      <c r="L38" s="72"/>
    </row>
    <row r="39" spans="2:12" ht="14.25" customHeight="1" x14ac:dyDescent="0.25">
      <c r="B39" s="33" t="s">
        <v>43</v>
      </c>
      <c r="C39" s="35">
        <f>SUM(C36:C38)</f>
        <v>0.11586666666666666</v>
      </c>
    </row>
    <row r="40" spans="2:12" ht="14.25" customHeight="1" x14ac:dyDescent="0.25">
      <c r="B40" s="33"/>
      <c r="C40" s="35"/>
    </row>
    <row r="41" spans="2:12" ht="14.25" customHeight="1" x14ac:dyDescent="0.25"/>
    <row r="42" spans="2:12" ht="14.25" customHeight="1" x14ac:dyDescent="0.25"/>
    <row r="43" spans="2:12" ht="14.25" customHeight="1" x14ac:dyDescent="0.25"/>
    <row r="44" spans="2:12" ht="14.25" customHeight="1" x14ac:dyDescent="0.25"/>
    <row r="45" spans="2:12" ht="14.25" customHeight="1" x14ac:dyDescent="0.25"/>
    <row r="46" spans="2:12" ht="14.25" customHeight="1" x14ac:dyDescent="0.25"/>
    <row r="47" spans="2:12" ht="14.25" customHeight="1" x14ac:dyDescent="0.25"/>
    <row r="48" spans="2:1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s="1" customFormat="1" ht="14.25" customHeight="1" x14ac:dyDescent="0.25"/>
    <row r="66" s="1" customFormat="1" ht="14.25" customHeight="1" x14ac:dyDescent="0.25"/>
    <row r="67" s="1" customFormat="1" ht="14.25" customHeight="1" x14ac:dyDescent="0.25"/>
    <row r="68" s="1" customFormat="1" ht="14.25" customHeight="1" x14ac:dyDescent="0.25"/>
    <row r="69" s="1" customFormat="1" ht="14.25" customHeight="1" x14ac:dyDescent="0.25"/>
    <row r="70" s="1" customFormat="1" ht="14.25" customHeight="1" x14ac:dyDescent="0.25"/>
    <row r="71" s="1" customFormat="1" ht="14.25" customHeight="1" x14ac:dyDescent="0.25"/>
    <row r="72" s="1" customFormat="1" ht="14.25" customHeight="1" x14ac:dyDescent="0.25"/>
    <row r="73" s="1" customFormat="1" ht="14.25" customHeight="1" x14ac:dyDescent="0.25"/>
    <row r="74" s="1" customFormat="1" ht="14.25" customHeight="1" x14ac:dyDescent="0.25"/>
    <row r="75" s="1" customFormat="1" ht="14.25" customHeight="1" x14ac:dyDescent="0.25"/>
    <row r="76" s="1" customFormat="1" ht="14.25" customHeight="1" x14ac:dyDescent="0.25"/>
    <row r="77" s="1" customFormat="1" ht="14.25" customHeight="1" x14ac:dyDescent="0.25"/>
    <row r="78" s="1" customFormat="1" ht="14.25" customHeight="1" x14ac:dyDescent="0.25"/>
    <row r="79" s="1" customFormat="1" ht="14.25" customHeight="1" x14ac:dyDescent="0.25"/>
    <row r="80" s="1" customFormat="1" ht="14.25" customHeight="1" x14ac:dyDescent="0.25"/>
    <row r="81" s="1" customFormat="1" ht="14.25" customHeight="1" x14ac:dyDescent="0.25"/>
    <row r="82" s="1" customFormat="1" ht="14.25" customHeight="1" x14ac:dyDescent="0.25"/>
    <row r="83" s="1" customFormat="1" ht="14.25" customHeight="1" x14ac:dyDescent="0.25"/>
    <row r="84" s="1" customFormat="1" ht="14.25" customHeight="1" x14ac:dyDescent="0.25"/>
    <row r="85" s="1" customFormat="1" ht="14.25" customHeight="1" x14ac:dyDescent="0.25"/>
    <row r="86" s="1" customFormat="1" ht="14.25" customHeight="1" x14ac:dyDescent="0.25"/>
    <row r="87" s="1" customFormat="1" ht="14.25" customHeight="1" x14ac:dyDescent="0.25"/>
    <row r="88" s="1" customFormat="1" ht="14.25" customHeight="1" x14ac:dyDescent="0.25"/>
    <row r="89" s="1" customFormat="1" ht="14.25" customHeight="1" x14ac:dyDescent="0.25"/>
    <row r="90" s="1" customFormat="1" ht="14.25" customHeight="1" x14ac:dyDescent="0.25"/>
    <row r="91" s="1" customFormat="1" ht="14.25" customHeight="1" x14ac:dyDescent="0.25"/>
    <row r="92" s="1" customFormat="1" ht="14.25" customHeight="1" x14ac:dyDescent="0.25"/>
    <row r="93" s="1" customFormat="1" ht="14.25" customHeight="1" x14ac:dyDescent="0.25"/>
    <row r="94" s="1" customFormat="1" ht="14.25" customHeight="1" x14ac:dyDescent="0.25"/>
    <row r="95" s="1" customFormat="1" ht="14.25" customHeight="1" x14ac:dyDescent="0.25"/>
    <row r="96" s="1" customFormat="1" ht="14.25" customHeight="1" x14ac:dyDescent="0.25"/>
    <row r="97" s="1" customFormat="1" ht="14.25" customHeight="1" x14ac:dyDescent="0.25"/>
    <row r="98" s="1" customFormat="1" ht="14.25" customHeight="1" x14ac:dyDescent="0.25"/>
    <row r="99" s="1" customFormat="1" ht="14.25" customHeight="1" x14ac:dyDescent="0.25"/>
    <row r="100" s="1" customFormat="1" ht="14.25" customHeight="1" x14ac:dyDescent="0.25"/>
    <row r="101" s="1" customFormat="1" ht="14.25" customHeight="1" x14ac:dyDescent="0.25"/>
    <row r="102" s="1" customFormat="1" ht="14.25" customHeight="1" x14ac:dyDescent="0.25"/>
    <row r="103" s="1" customFormat="1" ht="14.25" customHeight="1" x14ac:dyDescent="0.25"/>
    <row r="104" s="1" customFormat="1" ht="14.25" customHeight="1" x14ac:dyDescent="0.25"/>
    <row r="105" s="1" customFormat="1" ht="14.25" customHeight="1" x14ac:dyDescent="0.25"/>
    <row r="106" s="1" customFormat="1" ht="14.25" customHeight="1" x14ac:dyDescent="0.25"/>
    <row r="107" s="1" customFormat="1" ht="14.25" customHeight="1" x14ac:dyDescent="0.25"/>
    <row r="108" s="1" customFormat="1" ht="14.25" customHeight="1" x14ac:dyDescent="0.25"/>
    <row r="109" s="1" customFormat="1" ht="14.25" customHeight="1" x14ac:dyDescent="0.25"/>
    <row r="110" s="1" customFormat="1" ht="14.25" customHeight="1" x14ac:dyDescent="0.25"/>
    <row r="111" s="1" customFormat="1" ht="14.25" customHeight="1" x14ac:dyDescent="0.25"/>
    <row r="112" s="1" customFormat="1" ht="14.25" customHeight="1" x14ac:dyDescent="0.25"/>
    <row r="113" s="1" customFormat="1" ht="14.25" customHeight="1" x14ac:dyDescent="0.25"/>
    <row r="114" s="1" customFormat="1" ht="14.25" customHeight="1" x14ac:dyDescent="0.25"/>
    <row r="115" s="1" customFormat="1" ht="14.25" customHeight="1" x14ac:dyDescent="0.25"/>
    <row r="116" s="1" customFormat="1" ht="14.25" customHeight="1" x14ac:dyDescent="0.25"/>
    <row r="117" s="1" customFormat="1" ht="14.25" customHeight="1" x14ac:dyDescent="0.25"/>
    <row r="118" s="1" customFormat="1" ht="14.25" customHeight="1" x14ac:dyDescent="0.25"/>
    <row r="119" s="1" customFormat="1" ht="14.25" customHeight="1" x14ac:dyDescent="0.25"/>
    <row r="120" s="1" customFormat="1" ht="14.25" customHeight="1" x14ac:dyDescent="0.25"/>
    <row r="121" s="1" customFormat="1" ht="14.25" customHeight="1" x14ac:dyDescent="0.25"/>
    <row r="122" s="1" customFormat="1" ht="14.25" customHeight="1" x14ac:dyDescent="0.25"/>
    <row r="123" s="1" customFormat="1" ht="14.25" customHeight="1" x14ac:dyDescent="0.25"/>
    <row r="124" s="1" customFormat="1" ht="14.25" customHeight="1" x14ac:dyDescent="0.25"/>
    <row r="125" s="1" customFormat="1" ht="14.25" customHeight="1" x14ac:dyDescent="0.25"/>
    <row r="126" s="1" customFormat="1" ht="14.25" customHeight="1" x14ac:dyDescent="0.25"/>
    <row r="127" s="1" customFormat="1" ht="14.25" customHeight="1" x14ac:dyDescent="0.25"/>
    <row r="128" s="1" customFormat="1" ht="14.25" customHeight="1" x14ac:dyDescent="0.25"/>
    <row r="129" s="1" customFormat="1" ht="14.25" customHeight="1" x14ac:dyDescent="0.25"/>
    <row r="130" s="1" customFormat="1" ht="14.25" customHeight="1" x14ac:dyDescent="0.25"/>
    <row r="131" s="1" customFormat="1" ht="14.25" customHeight="1" x14ac:dyDescent="0.25"/>
    <row r="132" s="1" customFormat="1" ht="14.25" customHeight="1" x14ac:dyDescent="0.25"/>
    <row r="133" s="1" customFormat="1" ht="14.25" customHeight="1" x14ac:dyDescent="0.25"/>
    <row r="134" s="1" customFormat="1" ht="14.25" customHeight="1" x14ac:dyDescent="0.25"/>
    <row r="135" s="1" customFormat="1" ht="14.25" customHeight="1" x14ac:dyDescent="0.25"/>
    <row r="136" s="1" customFormat="1" ht="14.25" customHeight="1" x14ac:dyDescent="0.25"/>
    <row r="137" s="1" customFormat="1" ht="14.25" customHeight="1" x14ac:dyDescent="0.25"/>
    <row r="138" s="1" customFormat="1" ht="14.25" customHeight="1" x14ac:dyDescent="0.25"/>
    <row r="139" s="1" customFormat="1" ht="14.25" customHeight="1" x14ac:dyDescent="0.25"/>
    <row r="140" s="1" customFormat="1" ht="14.25" customHeight="1" x14ac:dyDescent="0.25"/>
    <row r="141" s="1" customFormat="1" ht="14.25" customHeight="1" x14ac:dyDescent="0.25"/>
    <row r="142" s="1" customFormat="1" ht="14.25" customHeight="1" x14ac:dyDescent="0.25"/>
    <row r="143" s="1" customFormat="1" ht="14.25" customHeight="1" x14ac:dyDescent="0.25"/>
    <row r="144" s="1" customFormat="1" ht="14.25" customHeight="1" x14ac:dyDescent="0.25"/>
    <row r="145" s="1" customFormat="1" ht="14.25" customHeight="1" x14ac:dyDescent="0.25"/>
    <row r="146" s="1" customFormat="1" ht="14.25" customHeight="1" x14ac:dyDescent="0.25"/>
    <row r="147" s="1" customFormat="1" ht="14.25" customHeight="1" x14ac:dyDescent="0.25"/>
    <row r="148" s="1" customFormat="1" ht="14.25" customHeight="1" x14ac:dyDescent="0.25"/>
    <row r="149" s="1" customFormat="1" ht="14.25" customHeight="1" x14ac:dyDescent="0.25"/>
    <row r="150" s="1" customFormat="1" ht="14.25" customHeight="1" x14ac:dyDescent="0.25"/>
    <row r="151" s="1" customFormat="1" ht="14.25" customHeight="1" x14ac:dyDescent="0.25"/>
    <row r="152" s="1" customFormat="1" ht="14.25" customHeight="1" x14ac:dyDescent="0.25"/>
    <row r="153" s="1" customFormat="1" ht="14.25" customHeight="1" x14ac:dyDescent="0.25"/>
    <row r="154" s="1" customFormat="1" ht="14.25" customHeight="1" x14ac:dyDescent="0.25"/>
    <row r="155" s="1" customFormat="1" ht="14.25" customHeight="1" x14ac:dyDescent="0.25"/>
    <row r="156" s="1" customFormat="1" ht="14.25" customHeight="1" x14ac:dyDescent="0.25"/>
    <row r="157" s="1" customFormat="1" ht="14.25" customHeight="1" x14ac:dyDescent="0.25"/>
    <row r="158" s="1" customFormat="1" ht="14.25" customHeight="1" x14ac:dyDescent="0.25"/>
    <row r="159" s="1" customFormat="1" ht="14.25" customHeight="1" x14ac:dyDescent="0.25"/>
    <row r="160" s="1" customFormat="1" ht="14.25" customHeight="1" x14ac:dyDescent="0.25"/>
    <row r="161" s="1" customFormat="1" ht="14.25" customHeight="1" x14ac:dyDescent="0.25"/>
    <row r="162" s="1" customFormat="1" ht="14.25" customHeight="1" x14ac:dyDescent="0.25"/>
    <row r="163" s="1" customFormat="1" ht="14.25" customHeight="1" x14ac:dyDescent="0.25"/>
    <row r="164" s="1" customFormat="1" ht="14.25" customHeight="1" x14ac:dyDescent="0.25"/>
    <row r="165" s="1" customFormat="1" ht="14.25" customHeight="1" x14ac:dyDescent="0.25"/>
    <row r="166" s="1" customFormat="1" ht="14.25" customHeight="1" x14ac:dyDescent="0.25"/>
    <row r="167" s="1" customFormat="1" ht="14.25" customHeight="1" x14ac:dyDescent="0.25"/>
    <row r="168" s="1" customFormat="1" ht="14.25" customHeight="1" x14ac:dyDescent="0.25"/>
    <row r="169" s="1" customFormat="1" ht="14.25" customHeight="1" x14ac:dyDescent="0.25"/>
    <row r="170" s="1" customFormat="1" ht="14.25" customHeight="1" x14ac:dyDescent="0.25"/>
    <row r="171" s="1" customFormat="1" ht="14.25" customHeight="1" x14ac:dyDescent="0.25"/>
    <row r="172" s="1" customFormat="1" ht="14.25" customHeight="1" x14ac:dyDescent="0.25"/>
    <row r="173" s="1" customFormat="1" ht="14.25" customHeight="1" x14ac:dyDescent="0.25"/>
    <row r="174" s="1" customFormat="1" ht="14.25" customHeight="1" x14ac:dyDescent="0.25"/>
    <row r="175" s="1" customFormat="1" ht="14.25" customHeight="1" x14ac:dyDescent="0.25"/>
    <row r="176" s="1" customFormat="1" ht="14.25" customHeight="1" x14ac:dyDescent="0.25"/>
    <row r="177" s="1" customFormat="1" ht="14.25" customHeight="1" x14ac:dyDescent="0.25"/>
    <row r="178" s="1" customFormat="1" ht="14.25" customHeight="1" x14ac:dyDescent="0.25"/>
    <row r="179" s="1" customFormat="1" ht="14.25" customHeight="1" x14ac:dyDescent="0.25"/>
    <row r="180" s="1" customFormat="1" ht="14.25" customHeight="1" x14ac:dyDescent="0.25"/>
    <row r="181" s="1" customFormat="1" ht="14.25" customHeight="1" x14ac:dyDescent="0.25"/>
    <row r="182" s="1" customFormat="1" ht="14.25" customHeight="1" x14ac:dyDescent="0.25"/>
    <row r="183" s="1" customFormat="1" ht="14.25" customHeight="1" x14ac:dyDescent="0.25"/>
    <row r="184" s="1" customFormat="1" ht="14.25" customHeight="1" x14ac:dyDescent="0.25"/>
    <row r="185" s="1" customFormat="1" ht="14.25" customHeight="1" x14ac:dyDescent="0.25"/>
    <row r="186" s="1" customFormat="1" ht="14.25" customHeight="1" x14ac:dyDescent="0.25"/>
    <row r="187" s="1" customFormat="1" ht="14.25" customHeight="1" x14ac:dyDescent="0.25"/>
    <row r="188" s="1" customFormat="1" ht="14.25" customHeight="1" x14ac:dyDescent="0.25"/>
    <row r="189" s="1" customFormat="1" ht="14.25" customHeight="1" x14ac:dyDescent="0.25"/>
    <row r="190" s="1" customFormat="1" ht="14.25" customHeight="1" x14ac:dyDescent="0.25"/>
    <row r="191" s="1" customFormat="1" ht="14.25" customHeight="1" x14ac:dyDescent="0.25"/>
    <row r="192" s="1" customFormat="1" ht="14.25" customHeight="1" x14ac:dyDescent="0.25"/>
    <row r="193" s="1" customFormat="1" ht="14.25" customHeight="1" x14ac:dyDescent="0.25"/>
    <row r="194" s="1" customFormat="1" ht="14.25" customHeight="1" x14ac:dyDescent="0.25"/>
    <row r="195" s="1" customFormat="1" ht="14.25" customHeight="1" x14ac:dyDescent="0.25"/>
    <row r="196" s="1" customFormat="1" ht="14.25" customHeight="1" x14ac:dyDescent="0.25"/>
    <row r="197" s="1" customFormat="1" ht="14.25" customHeight="1" x14ac:dyDescent="0.25"/>
    <row r="198" s="1" customFormat="1" ht="14.25" customHeight="1" x14ac:dyDescent="0.25"/>
    <row r="199" s="1" customFormat="1" ht="14.25" customHeight="1" x14ac:dyDescent="0.25"/>
    <row r="200" s="1" customFormat="1" ht="14.25" customHeight="1" x14ac:dyDescent="0.25"/>
    <row r="201" s="1" customFormat="1" ht="14.25" customHeight="1" x14ac:dyDescent="0.25"/>
    <row r="202" s="1" customFormat="1" ht="14.25" customHeight="1" x14ac:dyDescent="0.25"/>
    <row r="203" s="1" customFormat="1" ht="14.25" customHeight="1" x14ac:dyDescent="0.25"/>
    <row r="204" s="1" customFormat="1" ht="14.25" customHeight="1" x14ac:dyDescent="0.25"/>
    <row r="205" s="1" customFormat="1" ht="14.25" customHeight="1" x14ac:dyDescent="0.25"/>
    <row r="206" s="1" customFormat="1" ht="14.25" customHeight="1" x14ac:dyDescent="0.25"/>
    <row r="207" s="1" customFormat="1" ht="14.25" customHeight="1" x14ac:dyDescent="0.25"/>
    <row r="208" s="1" customFormat="1" ht="14.25" customHeight="1" x14ac:dyDescent="0.25"/>
    <row r="209" s="1" customFormat="1" ht="14.25" customHeight="1" x14ac:dyDescent="0.25"/>
    <row r="210" s="1" customFormat="1" ht="14.25" customHeight="1" x14ac:dyDescent="0.25"/>
    <row r="211" s="1" customFormat="1" ht="14.25" customHeight="1" x14ac:dyDescent="0.25"/>
    <row r="212" s="1" customFormat="1" ht="14.25" customHeight="1" x14ac:dyDescent="0.25"/>
    <row r="213" s="1" customFormat="1" ht="14.25" customHeight="1" x14ac:dyDescent="0.25"/>
    <row r="214" s="1" customFormat="1" ht="14.25" customHeight="1" x14ac:dyDescent="0.25"/>
    <row r="215" s="1" customFormat="1" ht="14.25" customHeight="1" x14ac:dyDescent="0.25"/>
    <row r="216" s="1" customFormat="1" ht="14.25" customHeight="1" x14ac:dyDescent="0.25"/>
    <row r="217" s="1" customFormat="1" ht="14.25" customHeight="1" x14ac:dyDescent="0.25"/>
    <row r="218" s="1" customFormat="1" ht="14.25" customHeight="1" x14ac:dyDescent="0.25"/>
    <row r="219" s="1" customFormat="1" ht="14.25" customHeight="1" x14ac:dyDescent="0.25"/>
    <row r="220" s="1" customFormat="1" ht="14.25" customHeight="1" x14ac:dyDescent="0.25"/>
    <row r="221" s="1" customFormat="1" ht="14.25" customHeight="1" x14ac:dyDescent="0.25"/>
    <row r="222" s="1" customFormat="1" ht="14.25" customHeight="1" x14ac:dyDescent="0.25"/>
    <row r="223" s="1" customFormat="1" ht="14.25" customHeight="1" x14ac:dyDescent="0.25"/>
    <row r="224" s="1" customFormat="1" ht="14.25" customHeight="1" x14ac:dyDescent="0.25"/>
    <row r="225" s="1" customFormat="1" ht="14.25" customHeight="1" x14ac:dyDescent="0.25"/>
    <row r="226" s="1" customFormat="1" ht="14.25" customHeight="1" x14ac:dyDescent="0.25"/>
    <row r="227" s="1" customFormat="1" ht="14.25" customHeight="1" x14ac:dyDescent="0.25"/>
    <row r="228" s="1" customFormat="1" ht="14.25" customHeight="1" x14ac:dyDescent="0.25"/>
    <row r="229" s="1" customFormat="1" ht="14.25" customHeight="1" x14ac:dyDescent="0.25"/>
    <row r="230" s="1" customFormat="1" ht="14.25" customHeight="1" x14ac:dyDescent="0.25"/>
    <row r="231" s="1" customFormat="1" ht="14.25" customHeight="1" x14ac:dyDescent="0.25"/>
    <row r="232" s="1" customFormat="1" ht="14.25" customHeight="1" x14ac:dyDescent="0.25"/>
    <row r="233" s="1" customFormat="1" ht="14.25" customHeight="1" x14ac:dyDescent="0.25"/>
    <row r="234" s="1" customFormat="1" ht="14.25" customHeight="1" x14ac:dyDescent="0.25"/>
    <row r="235" s="1" customFormat="1" ht="14.25" customHeight="1" x14ac:dyDescent="0.25"/>
    <row r="236" s="1" customFormat="1" ht="14.25" customHeight="1" x14ac:dyDescent="0.25"/>
    <row r="237" s="1" customFormat="1" ht="14.25" customHeight="1" x14ac:dyDescent="0.25"/>
    <row r="238" s="1" customFormat="1" ht="14.25" customHeight="1" x14ac:dyDescent="0.25"/>
    <row r="239" s="1" customFormat="1" ht="14.25" customHeight="1" x14ac:dyDescent="0.25"/>
    <row r="240" s="1" customFormat="1" ht="14.25" customHeight="1" x14ac:dyDescent="0.25"/>
    <row r="241" s="1" customFormat="1" ht="14.25" customHeight="1" x14ac:dyDescent="0.25"/>
    <row r="242" s="1" customFormat="1" ht="14.25" customHeight="1" x14ac:dyDescent="0.25"/>
    <row r="243" s="1" customFormat="1" ht="14.25" customHeight="1" x14ac:dyDescent="0.25"/>
    <row r="244" s="1" customFormat="1" ht="14.25" customHeight="1" x14ac:dyDescent="0.25"/>
    <row r="245" s="1" customFormat="1" ht="14.25" customHeight="1" x14ac:dyDescent="0.25"/>
    <row r="246" s="1" customFormat="1" ht="14.25" customHeight="1" x14ac:dyDescent="0.25"/>
    <row r="247" s="1" customFormat="1" ht="14.25" customHeight="1" x14ac:dyDescent="0.25"/>
    <row r="248" s="1" customFormat="1" ht="14.25" customHeight="1" x14ac:dyDescent="0.25"/>
    <row r="249" s="1" customFormat="1" ht="14.25" customHeight="1" x14ac:dyDescent="0.25"/>
    <row r="250" s="1" customFormat="1" ht="14.25" customHeight="1" x14ac:dyDescent="0.25"/>
    <row r="251" s="1" customFormat="1" ht="14.25" customHeight="1" x14ac:dyDescent="0.25"/>
    <row r="252" s="1" customFormat="1" ht="14.25" customHeight="1" x14ac:dyDescent="0.25"/>
    <row r="253" s="1" customFormat="1" ht="14.25" customHeight="1" x14ac:dyDescent="0.25"/>
    <row r="254" s="1" customFormat="1" ht="14.25" customHeight="1" x14ac:dyDescent="0.25"/>
    <row r="255" s="1" customFormat="1" ht="14.25" customHeight="1" x14ac:dyDescent="0.25"/>
    <row r="256" s="1" customFormat="1" ht="14.25" customHeight="1" x14ac:dyDescent="0.25"/>
    <row r="257" s="1" customFormat="1" ht="14.25" customHeight="1" x14ac:dyDescent="0.25"/>
    <row r="258" s="1" customFormat="1" ht="14.25" customHeight="1" x14ac:dyDescent="0.25"/>
    <row r="259" s="1" customFormat="1" ht="14.25" customHeight="1" x14ac:dyDescent="0.25"/>
    <row r="260" s="1" customFormat="1" ht="14.25" customHeight="1" x14ac:dyDescent="0.25"/>
    <row r="261" s="1" customFormat="1" ht="14.25" customHeight="1" x14ac:dyDescent="0.25"/>
    <row r="262" s="1" customFormat="1" ht="14.25" customHeight="1" x14ac:dyDescent="0.25"/>
    <row r="263" s="1" customFormat="1" ht="14.25" customHeight="1" x14ac:dyDescent="0.25"/>
    <row r="264" s="1" customFormat="1" ht="14.25" customHeight="1" x14ac:dyDescent="0.25"/>
    <row r="265" s="1" customFormat="1" ht="14.25" customHeight="1" x14ac:dyDescent="0.25"/>
    <row r="266" s="1" customFormat="1" ht="14.25" customHeight="1" x14ac:dyDescent="0.25"/>
    <row r="267" s="1" customFormat="1" ht="14.25" customHeight="1" x14ac:dyDescent="0.25"/>
    <row r="268" s="1" customFormat="1" ht="14.25" customHeight="1" x14ac:dyDescent="0.25"/>
    <row r="269" s="1" customFormat="1" ht="14.25" customHeight="1" x14ac:dyDescent="0.25"/>
    <row r="270" s="1" customFormat="1" ht="14.25" customHeight="1" x14ac:dyDescent="0.25"/>
    <row r="271" s="1" customFormat="1" ht="14.25" customHeight="1" x14ac:dyDescent="0.25"/>
    <row r="272" s="1" customFormat="1" ht="14.25" customHeight="1" x14ac:dyDescent="0.25"/>
    <row r="273" s="1" customFormat="1" ht="14.25" customHeight="1" x14ac:dyDescent="0.25"/>
    <row r="274" s="1" customFormat="1" ht="14.25" customHeight="1" x14ac:dyDescent="0.25"/>
    <row r="275" s="1" customFormat="1" ht="14.25" customHeight="1" x14ac:dyDescent="0.25"/>
    <row r="276" s="1" customFormat="1" ht="14.25" customHeight="1" x14ac:dyDescent="0.25"/>
    <row r="277" s="1" customFormat="1" ht="14.25" customHeight="1" x14ac:dyDescent="0.25"/>
    <row r="278" s="1" customFormat="1" ht="14.25" customHeight="1" x14ac:dyDescent="0.25"/>
    <row r="279" s="1" customFormat="1" ht="14.25" customHeight="1" x14ac:dyDescent="0.25"/>
    <row r="280" s="1" customFormat="1" ht="14.25" customHeight="1" x14ac:dyDescent="0.25"/>
    <row r="281" s="1" customFormat="1" ht="14.25" customHeight="1" x14ac:dyDescent="0.25"/>
    <row r="282" s="1" customFormat="1" ht="14.25" customHeight="1" x14ac:dyDescent="0.25"/>
    <row r="283" s="1" customFormat="1" ht="14.25" customHeight="1" x14ac:dyDescent="0.25"/>
    <row r="284" s="1" customFormat="1" ht="14.25" customHeight="1" x14ac:dyDescent="0.25"/>
    <row r="285" s="1" customFormat="1" ht="14.25" customHeight="1" x14ac:dyDescent="0.25"/>
    <row r="286" s="1" customFormat="1" ht="14.25" customHeight="1" x14ac:dyDescent="0.25"/>
    <row r="287" s="1" customFormat="1" ht="14.25" customHeight="1" x14ac:dyDescent="0.25"/>
    <row r="288" s="1" customFormat="1" ht="14.25" customHeight="1" x14ac:dyDescent="0.25"/>
    <row r="289" s="1" customFormat="1" ht="14.25" customHeight="1" x14ac:dyDescent="0.25"/>
    <row r="290" s="1" customFormat="1" ht="14.25" customHeight="1" x14ac:dyDescent="0.25"/>
    <row r="291" s="1" customFormat="1" ht="14.25" customHeight="1" x14ac:dyDescent="0.25"/>
    <row r="292" s="1" customFormat="1" ht="14.25" customHeight="1" x14ac:dyDescent="0.25"/>
    <row r="293" s="1" customFormat="1" ht="14.25" customHeight="1" x14ac:dyDescent="0.25"/>
    <row r="294" s="1" customFormat="1" ht="14.25" customHeight="1" x14ac:dyDescent="0.25"/>
    <row r="295" s="1" customFormat="1" ht="14.25" customHeight="1" x14ac:dyDescent="0.25"/>
    <row r="296" s="1" customFormat="1" ht="14.25" customHeight="1" x14ac:dyDescent="0.25"/>
    <row r="297" s="1" customFormat="1" ht="14.25" customHeight="1" x14ac:dyDescent="0.25"/>
    <row r="298" s="1" customFormat="1" ht="14.25" customHeight="1" x14ac:dyDescent="0.25"/>
    <row r="299" s="1" customFormat="1" ht="14.25" customHeight="1" x14ac:dyDescent="0.25"/>
    <row r="300" s="1" customFormat="1" ht="14.25" customHeight="1" x14ac:dyDescent="0.25"/>
    <row r="301" s="1" customFormat="1" ht="14.25" customHeight="1" x14ac:dyDescent="0.25"/>
    <row r="302" s="1" customFormat="1" ht="14.25" customHeight="1" x14ac:dyDescent="0.25"/>
    <row r="303" s="1" customFormat="1" ht="14.25" customHeight="1" x14ac:dyDescent="0.25"/>
    <row r="304" s="1" customFormat="1" ht="14.25" customHeight="1" x14ac:dyDescent="0.25"/>
    <row r="305" s="1" customFormat="1" ht="14.25" customHeight="1" x14ac:dyDescent="0.25"/>
    <row r="306" s="1" customFormat="1" ht="14.25" customHeight="1" x14ac:dyDescent="0.25"/>
    <row r="307" s="1" customFormat="1" ht="14.25" customHeight="1" x14ac:dyDescent="0.25"/>
    <row r="308" s="1" customFormat="1" ht="14.25" customHeight="1" x14ac:dyDescent="0.25"/>
    <row r="309" s="1" customFormat="1" ht="14.25" customHeight="1" x14ac:dyDescent="0.25"/>
    <row r="310" s="1" customFormat="1" ht="14.25" customHeight="1" x14ac:dyDescent="0.25"/>
    <row r="311" s="1" customFormat="1" ht="14.25" customHeight="1" x14ac:dyDescent="0.25"/>
    <row r="312" s="1" customFormat="1" ht="14.25" customHeight="1" x14ac:dyDescent="0.25"/>
    <row r="313" s="1" customFormat="1" ht="14.25" customHeight="1" x14ac:dyDescent="0.25"/>
    <row r="314" s="1" customFormat="1" ht="14.25" customHeight="1" x14ac:dyDescent="0.25"/>
    <row r="315" s="1" customFormat="1" ht="14.25" customHeight="1" x14ac:dyDescent="0.25"/>
    <row r="316" s="1" customFormat="1" ht="14.25" customHeight="1" x14ac:dyDescent="0.25"/>
    <row r="317" s="1" customFormat="1" ht="14.25" customHeight="1" x14ac:dyDescent="0.25"/>
    <row r="318" s="1" customFormat="1" ht="14.25" customHeight="1" x14ac:dyDescent="0.25"/>
    <row r="319" s="1" customFormat="1" ht="14.25" customHeight="1" x14ac:dyDescent="0.25"/>
    <row r="320" s="1" customFormat="1" ht="14.25" customHeight="1" x14ac:dyDescent="0.25"/>
    <row r="321" s="1" customFormat="1" ht="14.25" customHeight="1" x14ac:dyDescent="0.25"/>
    <row r="322" s="1" customFormat="1" ht="14.25" customHeight="1" x14ac:dyDescent="0.25"/>
    <row r="323" s="1" customFormat="1" ht="14.25" customHeight="1" x14ac:dyDescent="0.25"/>
    <row r="324" s="1" customFormat="1" ht="14.25" customHeight="1" x14ac:dyDescent="0.25"/>
    <row r="325" s="1" customFormat="1" ht="14.25" customHeight="1" x14ac:dyDescent="0.25"/>
    <row r="326" s="1" customFormat="1" ht="14.25" customHeight="1" x14ac:dyDescent="0.25"/>
    <row r="327" s="1" customFormat="1" ht="14.25" customHeight="1" x14ac:dyDescent="0.25"/>
    <row r="328" s="1" customFormat="1" ht="14.25" customHeight="1" x14ac:dyDescent="0.25"/>
    <row r="329" s="1" customFormat="1" ht="14.25" customHeight="1" x14ac:dyDescent="0.25"/>
    <row r="330" s="1" customFormat="1" ht="14.25" customHeight="1" x14ac:dyDescent="0.25"/>
    <row r="331" s="1" customFormat="1" ht="14.25" customHeight="1" x14ac:dyDescent="0.25"/>
    <row r="332" s="1" customFormat="1" ht="14.25" customHeight="1" x14ac:dyDescent="0.25"/>
    <row r="333" s="1" customFormat="1" ht="14.25" customHeight="1" x14ac:dyDescent="0.25"/>
    <row r="334" s="1" customFormat="1" ht="14.25" customHeight="1" x14ac:dyDescent="0.25"/>
    <row r="335" s="1" customFormat="1" ht="14.25" customHeight="1" x14ac:dyDescent="0.25"/>
    <row r="336" s="1" customFormat="1" ht="14.25" customHeight="1" x14ac:dyDescent="0.25"/>
    <row r="337" s="1" customFormat="1" ht="14.25" customHeight="1" x14ac:dyDescent="0.25"/>
    <row r="338" s="1" customFormat="1" ht="14.25" customHeight="1" x14ac:dyDescent="0.25"/>
    <row r="339" s="1" customFormat="1" ht="14.25" customHeight="1" x14ac:dyDescent="0.25"/>
    <row r="340" s="1" customFormat="1" ht="14.25" customHeight="1" x14ac:dyDescent="0.25"/>
    <row r="341" s="1" customFormat="1" ht="14.25" customHeight="1" x14ac:dyDescent="0.25"/>
    <row r="342" s="1" customFormat="1" ht="14.25" customHeight="1" x14ac:dyDescent="0.25"/>
    <row r="343" s="1" customFormat="1" ht="14.25" customHeight="1" x14ac:dyDescent="0.25"/>
    <row r="344" s="1" customFormat="1" ht="14.25" customHeight="1" x14ac:dyDescent="0.25"/>
    <row r="345" s="1" customFormat="1" ht="14.25" customHeight="1" x14ac:dyDescent="0.25"/>
    <row r="346" s="1" customFormat="1" ht="14.25" customHeight="1" x14ac:dyDescent="0.25"/>
    <row r="347" s="1" customFormat="1" ht="14.25" customHeight="1" x14ac:dyDescent="0.25"/>
    <row r="348" s="1" customFormat="1" ht="14.25" customHeight="1" x14ac:dyDescent="0.25"/>
    <row r="349" s="1" customFormat="1" ht="14.25" customHeight="1" x14ac:dyDescent="0.25"/>
    <row r="350" s="1" customFormat="1" ht="14.25" customHeight="1" x14ac:dyDescent="0.25"/>
    <row r="351" s="1" customFormat="1" ht="14.25" customHeight="1" x14ac:dyDescent="0.25"/>
    <row r="352" s="1" customFormat="1" ht="14.25" customHeight="1" x14ac:dyDescent="0.25"/>
    <row r="353" s="1" customFormat="1" ht="14.25" customHeight="1" x14ac:dyDescent="0.25"/>
    <row r="354" s="1" customFormat="1" ht="14.25" customHeight="1" x14ac:dyDescent="0.25"/>
    <row r="355" s="1" customFormat="1" ht="14.25" customHeight="1" x14ac:dyDescent="0.25"/>
    <row r="356" s="1" customFormat="1" ht="14.25" customHeight="1" x14ac:dyDescent="0.25"/>
    <row r="357" s="1" customFormat="1" ht="14.25" customHeight="1" x14ac:dyDescent="0.25"/>
    <row r="358" s="1" customFormat="1" ht="14.25" customHeight="1" x14ac:dyDescent="0.25"/>
    <row r="359" s="1" customFormat="1" ht="14.25" customHeight="1" x14ac:dyDescent="0.25"/>
    <row r="360" s="1" customFormat="1" ht="14.25" customHeight="1" x14ac:dyDescent="0.25"/>
    <row r="361" s="1" customFormat="1" ht="14.25" customHeight="1" x14ac:dyDescent="0.25"/>
    <row r="362" s="1" customFormat="1" ht="14.25" customHeight="1" x14ac:dyDescent="0.25"/>
    <row r="363" s="1" customFormat="1" ht="14.25" customHeight="1" x14ac:dyDescent="0.25"/>
    <row r="364" s="1" customFormat="1" ht="14.25" customHeight="1" x14ac:dyDescent="0.25"/>
    <row r="365" s="1" customFormat="1" ht="14.25" customHeight="1" x14ac:dyDescent="0.25"/>
    <row r="366" s="1" customFormat="1" ht="14.25" customHeight="1" x14ac:dyDescent="0.25"/>
    <row r="367" s="1" customFormat="1" ht="14.25" customHeight="1" x14ac:dyDescent="0.25"/>
    <row r="368" s="1" customFormat="1" ht="14.25" customHeight="1" x14ac:dyDescent="0.25"/>
    <row r="369" s="1" customFormat="1" ht="14.25" customHeight="1" x14ac:dyDescent="0.25"/>
    <row r="370" s="1" customFormat="1" ht="14.25" customHeight="1" x14ac:dyDescent="0.25"/>
    <row r="371" s="1" customFormat="1" ht="14.25" customHeight="1" x14ac:dyDescent="0.25"/>
    <row r="372" s="1" customFormat="1" ht="14.25" customHeight="1" x14ac:dyDescent="0.25"/>
    <row r="373" s="1" customFormat="1" ht="14.25" customHeight="1" x14ac:dyDescent="0.25"/>
    <row r="374" s="1" customFormat="1" ht="14.25" customHeight="1" x14ac:dyDescent="0.25"/>
    <row r="375" s="1" customFormat="1" ht="14.25" customHeight="1" x14ac:dyDescent="0.25"/>
    <row r="376" s="1" customFormat="1" ht="14.25" customHeight="1" x14ac:dyDescent="0.25"/>
    <row r="377" s="1" customFormat="1" ht="14.25" customHeight="1" x14ac:dyDescent="0.25"/>
    <row r="378" s="1" customFormat="1" ht="14.25" customHeight="1" x14ac:dyDescent="0.25"/>
    <row r="379" s="1" customFormat="1" ht="14.25" customHeight="1" x14ac:dyDescent="0.25"/>
    <row r="380" s="1" customFormat="1" ht="14.25" customHeight="1" x14ac:dyDescent="0.25"/>
    <row r="381" s="1" customFormat="1" ht="14.25" customHeight="1" x14ac:dyDescent="0.25"/>
    <row r="382" s="1" customFormat="1" ht="14.25" customHeight="1" x14ac:dyDescent="0.25"/>
    <row r="383" s="1" customFormat="1" ht="14.25" customHeight="1" x14ac:dyDescent="0.25"/>
    <row r="384" s="1" customFormat="1" ht="14.25" customHeight="1" x14ac:dyDescent="0.25"/>
    <row r="385" s="1" customFormat="1" ht="14.25" customHeight="1" x14ac:dyDescent="0.25"/>
    <row r="386" s="1" customFormat="1" ht="14.25" customHeight="1" x14ac:dyDescent="0.25"/>
    <row r="387" s="1" customFormat="1" ht="14.25" customHeight="1" x14ac:dyDescent="0.25"/>
    <row r="388" s="1" customFormat="1" ht="14.25" customHeight="1" x14ac:dyDescent="0.25"/>
    <row r="389" s="1" customFormat="1" ht="14.25" customHeight="1" x14ac:dyDescent="0.25"/>
    <row r="390" s="1" customFormat="1" ht="14.25" customHeight="1" x14ac:dyDescent="0.25"/>
    <row r="391" s="1" customFormat="1" ht="14.25" customHeight="1" x14ac:dyDescent="0.25"/>
    <row r="392" s="1" customFormat="1" ht="14.25" customHeight="1" x14ac:dyDescent="0.25"/>
    <row r="393" s="1" customFormat="1" ht="14.25" customHeight="1" x14ac:dyDescent="0.25"/>
    <row r="394" s="1" customFormat="1" ht="14.25" customHeight="1" x14ac:dyDescent="0.25"/>
    <row r="395" s="1" customFormat="1" ht="14.25" customHeight="1" x14ac:dyDescent="0.25"/>
    <row r="396" s="1" customFormat="1" ht="14.25" customHeight="1" x14ac:dyDescent="0.25"/>
    <row r="397" s="1" customFormat="1" ht="14.25" customHeight="1" x14ac:dyDescent="0.25"/>
    <row r="398" s="1" customFormat="1" ht="14.25" customHeight="1" x14ac:dyDescent="0.25"/>
    <row r="399" s="1" customFormat="1" ht="14.25" customHeight="1" x14ac:dyDescent="0.25"/>
    <row r="400" s="1" customFormat="1" ht="14.25" customHeight="1" x14ac:dyDescent="0.25"/>
    <row r="401" s="1" customFormat="1" ht="14.25" customHeight="1" x14ac:dyDescent="0.25"/>
    <row r="402" s="1" customFormat="1" ht="14.25" customHeight="1" x14ac:dyDescent="0.25"/>
    <row r="403" s="1" customFormat="1" ht="14.25" customHeight="1" x14ac:dyDescent="0.25"/>
    <row r="404" s="1" customFormat="1" ht="14.25" customHeight="1" x14ac:dyDescent="0.25"/>
    <row r="405" s="1" customFormat="1" ht="14.25" customHeight="1" x14ac:dyDescent="0.25"/>
    <row r="406" s="1" customFormat="1" ht="14.25" customHeight="1" x14ac:dyDescent="0.25"/>
    <row r="407" s="1" customFormat="1" ht="14.25" customHeight="1" x14ac:dyDescent="0.25"/>
    <row r="408" s="1" customFormat="1" ht="14.25" customHeight="1" x14ac:dyDescent="0.25"/>
    <row r="409" s="1" customFormat="1" ht="14.25" customHeight="1" x14ac:dyDescent="0.25"/>
    <row r="410" s="1" customFormat="1" ht="14.25" customHeight="1" x14ac:dyDescent="0.25"/>
    <row r="411" s="1" customFormat="1" ht="14.25" customHeight="1" x14ac:dyDescent="0.25"/>
    <row r="412" s="1" customFormat="1" ht="14.25" customHeight="1" x14ac:dyDescent="0.25"/>
    <row r="413" s="1" customFormat="1" ht="14.25" customHeight="1" x14ac:dyDescent="0.25"/>
    <row r="414" s="1" customFormat="1" ht="14.25" customHeight="1" x14ac:dyDescent="0.25"/>
    <row r="415" s="1" customFormat="1" ht="14.25" customHeight="1" x14ac:dyDescent="0.25"/>
    <row r="416" s="1" customFormat="1" ht="14.25" customHeight="1" x14ac:dyDescent="0.25"/>
    <row r="417" s="1" customFormat="1" ht="14.25" customHeight="1" x14ac:dyDescent="0.25"/>
    <row r="418" s="1" customFormat="1" ht="14.25" customHeight="1" x14ac:dyDescent="0.25"/>
    <row r="419" s="1" customFormat="1" ht="14.25" customHeight="1" x14ac:dyDescent="0.25"/>
    <row r="420" s="1" customFormat="1" ht="14.25" customHeight="1" x14ac:dyDescent="0.25"/>
    <row r="421" s="1" customFormat="1" ht="14.25" customHeight="1" x14ac:dyDescent="0.25"/>
    <row r="422" s="1" customFormat="1" ht="14.25" customHeight="1" x14ac:dyDescent="0.25"/>
    <row r="423" s="1" customFormat="1" ht="14.25" customHeight="1" x14ac:dyDescent="0.25"/>
    <row r="424" s="1" customFormat="1" ht="14.25" customHeight="1" x14ac:dyDescent="0.25"/>
    <row r="425" s="1" customFormat="1" ht="14.25" customHeight="1" x14ac:dyDescent="0.25"/>
    <row r="426" s="1" customFormat="1" ht="14.25" customHeight="1" x14ac:dyDescent="0.25"/>
    <row r="427" s="1" customFormat="1" ht="14.25" customHeight="1" x14ac:dyDescent="0.25"/>
    <row r="428" s="1" customFormat="1" ht="14.25" customHeight="1" x14ac:dyDescent="0.25"/>
    <row r="429" s="1" customFormat="1" ht="14.25" customHeight="1" x14ac:dyDescent="0.25"/>
    <row r="430" s="1" customFormat="1" ht="14.25" customHeight="1" x14ac:dyDescent="0.25"/>
    <row r="431" s="1" customFormat="1" ht="14.25" customHeight="1" x14ac:dyDescent="0.25"/>
    <row r="432" s="1" customFormat="1" ht="14.25" customHeight="1" x14ac:dyDescent="0.25"/>
    <row r="433" s="1" customFormat="1" ht="14.25" customHeight="1" x14ac:dyDescent="0.25"/>
    <row r="434" s="1" customFormat="1" ht="14.25" customHeight="1" x14ac:dyDescent="0.25"/>
    <row r="435" s="1" customFormat="1" ht="14.25" customHeight="1" x14ac:dyDescent="0.25"/>
    <row r="436" s="1" customFormat="1" ht="14.25" customHeight="1" x14ac:dyDescent="0.25"/>
    <row r="437" s="1" customFormat="1" ht="14.25" customHeight="1" x14ac:dyDescent="0.25"/>
    <row r="438" s="1" customFormat="1" ht="14.25" customHeight="1" x14ac:dyDescent="0.25"/>
    <row r="439" s="1" customFormat="1" ht="14.25" customHeight="1" x14ac:dyDescent="0.25"/>
    <row r="440" s="1" customFormat="1" ht="14.25" customHeight="1" x14ac:dyDescent="0.25"/>
    <row r="441" s="1" customFormat="1" ht="14.25" customHeight="1" x14ac:dyDescent="0.25"/>
    <row r="442" s="1" customFormat="1" ht="14.25" customHeight="1" x14ac:dyDescent="0.25"/>
    <row r="443" s="1" customFormat="1" ht="14.25" customHeight="1" x14ac:dyDescent="0.25"/>
    <row r="444" s="1" customFormat="1" ht="14.25" customHeight="1" x14ac:dyDescent="0.25"/>
    <row r="445" s="1" customFormat="1" ht="14.25" customHeight="1" x14ac:dyDescent="0.25"/>
    <row r="446" s="1" customFormat="1" ht="14.25" customHeight="1" x14ac:dyDescent="0.25"/>
    <row r="447" s="1" customFormat="1" ht="14.25" customHeight="1" x14ac:dyDescent="0.25"/>
    <row r="448" s="1" customFormat="1" ht="14.25" customHeight="1" x14ac:dyDescent="0.25"/>
    <row r="449" s="1" customFormat="1" ht="14.25" customHeight="1" x14ac:dyDescent="0.25"/>
    <row r="450" s="1" customFormat="1" ht="14.25" customHeight="1" x14ac:dyDescent="0.25"/>
    <row r="451" s="1" customFormat="1" ht="14.25" customHeight="1" x14ac:dyDescent="0.25"/>
    <row r="452" s="1" customFormat="1" ht="14.25" customHeight="1" x14ac:dyDescent="0.25"/>
    <row r="453" s="1" customFormat="1" ht="14.25" customHeight="1" x14ac:dyDescent="0.25"/>
    <row r="454" s="1" customFormat="1" ht="14.25" customHeight="1" x14ac:dyDescent="0.25"/>
    <row r="455" s="1" customFormat="1" ht="14.25" customHeight="1" x14ac:dyDescent="0.25"/>
    <row r="456" s="1" customFormat="1" ht="14.25" customHeight="1" x14ac:dyDescent="0.25"/>
    <row r="457" s="1" customFormat="1" ht="14.25" customHeight="1" x14ac:dyDescent="0.25"/>
    <row r="458" s="1" customFormat="1" ht="14.25" customHeight="1" x14ac:dyDescent="0.25"/>
    <row r="459" s="1" customFormat="1" ht="14.25" customHeight="1" x14ac:dyDescent="0.25"/>
    <row r="460" s="1" customFormat="1" ht="14.25" customHeight="1" x14ac:dyDescent="0.25"/>
    <row r="461" s="1" customFormat="1" ht="14.25" customHeight="1" x14ac:dyDescent="0.25"/>
    <row r="462" s="1" customFormat="1" ht="14.25" customHeight="1" x14ac:dyDescent="0.25"/>
    <row r="463" s="1" customFormat="1" ht="14.25" customHeight="1" x14ac:dyDescent="0.25"/>
    <row r="464" s="1" customFormat="1" ht="14.25" customHeight="1" x14ac:dyDescent="0.25"/>
    <row r="465" s="1" customFormat="1" ht="14.25" customHeight="1" x14ac:dyDescent="0.25"/>
    <row r="466" s="1" customFormat="1" ht="14.25" customHeight="1" x14ac:dyDescent="0.25"/>
    <row r="467" s="1" customFormat="1" ht="14.25" customHeight="1" x14ac:dyDescent="0.25"/>
    <row r="468" s="1" customFormat="1" ht="14.25" customHeight="1" x14ac:dyDescent="0.25"/>
    <row r="469" s="1" customFormat="1" ht="14.25" customHeight="1" x14ac:dyDescent="0.25"/>
    <row r="470" s="1" customFormat="1" ht="14.25" customHeight="1" x14ac:dyDescent="0.25"/>
    <row r="471" s="1" customFormat="1" ht="14.25" customHeight="1" x14ac:dyDescent="0.25"/>
    <row r="472" s="1" customFormat="1" ht="14.25" customHeight="1" x14ac:dyDescent="0.25"/>
    <row r="473" s="1" customFormat="1" ht="14.25" customHeight="1" x14ac:dyDescent="0.25"/>
    <row r="474" s="1" customFormat="1" ht="14.25" customHeight="1" x14ac:dyDescent="0.25"/>
    <row r="475" s="1" customFormat="1" ht="14.25" customHeight="1" x14ac:dyDescent="0.25"/>
    <row r="476" s="1" customFormat="1" ht="14.25" customHeight="1" x14ac:dyDescent="0.25"/>
    <row r="477" s="1" customFormat="1" ht="14.25" customHeight="1" x14ac:dyDescent="0.25"/>
    <row r="478" s="1" customFormat="1" ht="14.25" customHeight="1" x14ac:dyDescent="0.25"/>
    <row r="479" s="1" customFormat="1" ht="14.25" customHeight="1" x14ac:dyDescent="0.25"/>
    <row r="480" s="1" customFormat="1" ht="14.25" customHeight="1" x14ac:dyDescent="0.25"/>
    <row r="481" s="1" customFormat="1" ht="14.25" customHeight="1" x14ac:dyDescent="0.25"/>
    <row r="482" s="1" customFormat="1" ht="14.25" customHeight="1" x14ac:dyDescent="0.25"/>
    <row r="483" s="1" customFormat="1" ht="14.25" customHeight="1" x14ac:dyDescent="0.25"/>
    <row r="484" s="1" customFormat="1" ht="14.25" customHeight="1" x14ac:dyDescent="0.25"/>
    <row r="485" s="1" customFormat="1" ht="14.25" customHeight="1" x14ac:dyDescent="0.25"/>
    <row r="486" s="1" customFormat="1" ht="14.25" customHeight="1" x14ac:dyDescent="0.25"/>
    <row r="487" s="1" customFormat="1" ht="14.25" customHeight="1" x14ac:dyDescent="0.25"/>
    <row r="488" s="1" customFormat="1" ht="14.25" customHeight="1" x14ac:dyDescent="0.25"/>
    <row r="489" s="1" customFormat="1" ht="14.25" customHeight="1" x14ac:dyDescent="0.25"/>
    <row r="490" s="1" customFormat="1" ht="14.25" customHeight="1" x14ac:dyDescent="0.25"/>
    <row r="491" s="1" customFormat="1" ht="14.25" customHeight="1" x14ac:dyDescent="0.25"/>
    <row r="492" s="1" customFormat="1" ht="14.25" customHeight="1" x14ac:dyDescent="0.25"/>
    <row r="493" s="1" customFormat="1" ht="14.25" customHeight="1" x14ac:dyDescent="0.25"/>
    <row r="494" s="1" customFormat="1" ht="14.25" customHeight="1" x14ac:dyDescent="0.25"/>
    <row r="495" s="1" customFormat="1" ht="14.25" customHeight="1" x14ac:dyDescent="0.25"/>
    <row r="496" s="1" customFormat="1" ht="14.25" customHeight="1" x14ac:dyDescent="0.25"/>
    <row r="497" s="1" customFormat="1" ht="14.25" customHeight="1" x14ac:dyDescent="0.25"/>
    <row r="498" s="1" customFormat="1" ht="14.25" customHeight="1" x14ac:dyDescent="0.25"/>
    <row r="499" s="1" customFormat="1" ht="14.25" customHeight="1" x14ac:dyDescent="0.25"/>
    <row r="500" s="1" customFormat="1" ht="14.25" customHeight="1" x14ac:dyDescent="0.25"/>
    <row r="501" s="1" customFormat="1" ht="14.25" customHeight="1" x14ac:dyDescent="0.25"/>
    <row r="502" s="1" customFormat="1" ht="14.25" customHeight="1" x14ac:dyDescent="0.25"/>
    <row r="503" s="1" customFormat="1" ht="14.25" customHeight="1" x14ac:dyDescent="0.25"/>
    <row r="504" s="1" customFormat="1" ht="14.25" customHeight="1" x14ac:dyDescent="0.25"/>
    <row r="505" s="1" customFormat="1" ht="14.25" customHeight="1" x14ac:dyDescent="0.25"/>
    <row r="506" s="1" customFormat="1" ht="14.25" customHeight="1" x14ac:dyDescent="0.25"/>
    <row r="507" s="1" customFormat="1" ht="14.25" customHeight="1" x14ac:dyDescent="0.25"/>
    <row r="508" s="1" customFormat="1" ht="14.25" customHeight="1" x14ac:dyDescent="0.25"/>
    <row r="509" s="1" customFormat="1" ht="14.25" customHeight="1" x14ac:dyDescent="0.25"/>
    <row r="510" s="1" customFormat="1" ht="14.25" customHeight="1" x14ac:dyDescent="0.25"/>
    <row r="511" s="1" customFormat="1" ht="14.25" customHeight="1" x14ac:dyDescent="0.25"/>
    <row r="512" s="1" customFormat="1" ht="14.25" customHeight="1" x14ac:dyDescent="0.25"/>
    <row r="513" s="1" customFormat="1" ht="14.25" customHeight="1" x14ac:dyDescent="0.25"/>
    <row r="514" s="1" customFormat="1" ht="14.25" customHeight="1" x14ac:dyDescent="0.25"/>
    <row r="515" s="1" customFormat="1" ht="14.25" customHeight="1" x14ac:dyDescent="0.25"/>
    <row r="516" s="1" customFormat="1" ht="14.25" customHeight="1" x14ac:dyDescent="0.25"/>
    <row r="517" s="1" customFormat="1" ht="14.25" customHeight="1" x14ac:dyDescent="0.25"/>
    <row r="518" s="1" customFormat="1" ht="14.25" customHeight="1" x14ac:dyDescent="0.25"/>
    <row r="519" s="1" customFormat="1" ht="14.25" customHeight="1" x14ac:dyDescent="0.25"/>
    <row r="520" s="1" customFormat="1" ht="14.25" customHeight="1" x14ac:dyDescent="0.25"/>
    <row r="521" s="1" customFormat="1" ht="14.25" customHeight="1" x14ac:dyDescent="0.25"/>
    <row r="522" s="1" customFormat="1" ht="14.25" customHeight="1" x14ac:dyDescent="0.25"/>
    <row r="523" s="1" customFormat="1" ht="14.25" customHeight="1" x14ac:dyDescent="0.25"/>
    <row r="524" s="1" customFormat="1" ht="14.25" customHeight="1" x14ac:dyDescent="0.25"/>
    <row r="525" s="1" customFormat="1" ht="14.25" customHeight="1" x14ac:dyDescent="0.25"/>
    <row r="526" s="1" customFormat="1" ht="14.25" customHeight="1" x14ac:dyDescent="0.25"/>
    <row r="527" s="1" customFormat="1" ht="14.25" customHeight="1" x14ac:dyDescent="0.25"/>
    <row r="528" s="1" customFormat="1" ht="14.25" customHeight="1" x14ac:dyDescent="0.25"/>
    <row r="529" s="1" customFormat="1" ht="14.25" customHeight="1" x14ac:dyDescent="0.25"/>
    <row r="530" s="1" customFormat="1" ht="14.25" customHeight="1" x14ac:dyDescent="0.25"/>
    <row r="531" s="1" customFormat="1" ht="14.25" customHeight="1" x14ac:dyDescent="0.25"/>
    <row r="532" s="1" customFormat="1" ht="14.25" customHeight="1" x14ac:dyDescent="0.25"/>
    <row r="533" s="1" customFormat="1" ht="14.25" customHeight="1" x14ac:dyDescent="0.25"/>
    <row r="534" s="1" customFormat="1" ht="14.25" customHeight="1" x14ac:dyDescent="0.25"/>
    <row r="535" s="1" customFormat="1" ht="14.25" customHeight="1" x14ac:dyDescent="0.25"/>
    <row r="536" s="1" customFormat="1" ht="14.25" customHeight="1" x14ac:dyDescent="0.25"/>
    <row r="537" s="1" customFormat="1" ht="14.25" customHeight="1" x14ac:dyDescent="0.25"/>
    <row r="538" s="1" customFormat="1" ht="14.25" customHeight="1" x14ac:dyDescent="0.25"/>
    <row r="539" s="1" customFormat="1" ht="14.25" customHeight="1" x14ac:dyDescent="0.25"/>
    <row r="540" s="1" customFormat="1" ht="14.25" customHeight="1" x14ac:dyDescent="0.25"/>
    <row r="541" s="1" customFormat="1" ht="14.25" customHeight="1" x14ac:dyDescent="0.25"/>
    <row r="542" s="1" customFormat="1" ht="14.25" customHeight="1" x14ac:dyDescent="0.25"/>
    <row r="543" s="1" customFormat="1" ht="14.25" customHeight="1" x14ac:dyDescent="0.25"/>
    <row r="544" s="1" customFormat="1" ht="14.25" customHeight="1" x14ac:dyDescent="0.25"/>
    <row r="545" s="1" customFormat="1" ht="14.25" customHeight="1" x14ac:dyDescent="0.25"/>
    <row r="546" s="1" customFormat="1" ht="14.25" customHeight="1" x14ac:dyDescent="0.25"/>
    <row r="547" s="1" customFormat="1" ht="14.25" customHeight="1" x14ac:dyDescent="0.25"/>
    <row r="548" s="1" customFormat="1" ht="14.25" customHeight="1" x14ac:dyDescent="0.25"/>
    <row r="549" s="1" customFormat="1" ht="14.25" customHeight="1" x14ac:dyDescent="0.25"/>
    <row r="550" s="1" customFormat="1" ht="14.25" customHeight="1" x14ac:dyDescent="0.25"/>
    <row r="551" s="1" customFormat="1" ht="14.25" customHeight="1" x14ac:dyDescent="0.25"/>
    <row r="552" s="1" customFormat="1" ht="14.25" customHeight="1" x14ac:dyDescent="0.25"/>
    <row r="553" s="1" customFormat="1" ht="14.25" customHeight="1" x14ac:dyDescent="0.25"/>
    <row r="554" s="1" customFormat="1" ht="14.25" customHeight="1" x14ac:dyDescent="0.25"/>
    <row r="555" s="1" customFormat="1" ht="14.25" customHeight="1" x14ac:dyDescent="0.25"/>
    <row r="556" s="1" customFormat="1" ht="14.25" customHeight="1" x14ac:dyDescent="0.25"/>
    <row r="557" s="1" customFormat="1" ht="14.25" customHeight="1" x14ac:dyDescent="0.25"/>
    <row r="558" s="1" customFormat="1" ht="14.25" customHeight="1" x14ac:dyDescent="0.25"/>
    <row r="559" s="1" customFormat="1" ht="14.25" customHeight="1" x14ac:dyDescent="0.25"/>
    <row r="560" s="1" customFormat="1" ht="14.25" customHeight="1" x14ac:dyDescent="0.25"/>
    <row r="561" s="1" customFormat="1" ht="14.25" customHeight="1" x14ac:dyDescent="0.25"/>
    <row r="562" s="1" customFormat="1" ht="14.25" customHeight="1" x14ac:dyDescent="0.25"/>
    <row r="563" s="1" customFormat="1" ht="14.25" customHeight="1" x14ac:dyDescent="0.25"/>
    <row r="564" s="1" customFormat="1" ht="14.25" customHeight="1" x14ac:dyDescent="0.25"/>
    <row r="565" s="1" customFormat="1" ht="14.25" customHeight="1" x14ac:dyDescent="0.25"/>
    <row r="566" s="1" customFormat="1" ht="14.25" customHeight="1" x14ac:dyDescent="0.25"/>
    <row r="567" s="1" customFormat="1" ht="14.25" customHeight="1" x14ac:dyDescent="0.25"/>
    <row r="568" s="1" customFormat="1" ht="14.25" customHeight="1" x14ac:dyDescent="0.25"/>
    <row r="569" s="1" customFormat="1" ht="14.25" customHeight="1" x14ac:dyDescent="0.25"/>
    <row r="570" s="1" customFormat="1" ht="14.25" customHeight="1" x14ac:dyDescent="0.25"/>
    <row r="571" s="1" customFormat="1" ht="14.25" customHeight="1" x14ac:dyDescent="0.25"/>
    <row r="572" s="1" customFormat="1" ht="14.25" customHeight="1" x14ac:dyDescent="0.25"/>
    <row r="573" s="1" customFormat="1" ht="14.25" customHeight="1" x14ac:dyDescent="0.25"/>
    <row r="574" s="1" customFormat="1" ht="14.25" customHeight="1" x14ac:dyDescent="0.25"/>
    <row r="575" s="1" customFormat="1" ht="14.25" customHeight="1" x14ac:dyDescent="0.25"/>
    <row r="576" s="1" customFormat="1" ht="14.25" customHeight="1" x14ac:dyDescent="0.25"/>
    <row r="577" s="1" customFormat="1" ht="14.25" customHeight="1" x14ac:dyDescent="0.25"/>
    <row r="578" s="1" customFormat="1" ht="14.25" customHeight="1" x14ac:dyDescent="0.25"/>
    <row r="579" s="1" customFormat="1" ht="14.25" customHeight="1" x14ac:dyDescent="0.25"/>
    <row r="580" s="1" customFormat="1" ht="14.25" customHeight="1" x14ac:dyDescent="0.25"/>
    <row r="581" s="1" customFormat="1" ht="14.25" customHeight="1" x14ac:dyDescent="0.25"/>
    <row r="582" s="1" customFormat="1" ht="14.25" customHeight="1" x14ac:dyDescent="0.25"/>
    <row r="583" s="1" customFormat="1" ht="14.25" customHeight="1" x14ac:dyDescent="0.25"/>
    <row r="584" s="1" customFormat="1" ht="14.25" customHeight="1" x14ac:dyDescent="0.25"/>
    <row r="585" s="1" customFormat="1" ht="14.25" customHeight="1" x14ac:dyDescent="0.25"/>
    <row r="586" s="1" customFormat="1" ht="14.25" customHeight="1" x14ac:dyDescent="0.25"/>
    <row r="587" s="1" customFormat="1" ht="14.25" customHeight="1" x14ac:dyDescent="0.25"/>
    <row r="588" s="1" customFormat="1" ht="14.25" customHeight="1" x14ac:dyDescent="0.25"/>
    <row r="589" s="1" customFormat="1" ht="14.25" customHeight="1" x14ac:dyDescent="0.25"/>
    <row r="590" s="1" customFormat="1" ht="14.25" customHeight="1" x14ac:dyDescent="0.25"/>
    <row r="591" s="1" customFormat="1" ht="14.25" customHeight="1" x14ac:dyDescent="0.25"/>
    <row r="592" s="1" customFormat="1" ht="14.25" customHeight="1" x14ac:dyDescent="0.25"/>
    <row r="593" s="1" customFormat="1" ht="14.25" customHeight="1" x14ac:dyDescent="0.25"/>
    <row r="594" s="1" customFormat="1" ht="14.25" customHeight="1" x14ac:dyDescent="0.25"/>
    <row r="595" s="1" customFormat="1" ht="14.25" customHeight="1" x14ac:dyDescent="0.25"/>
    <row r="596" s="1" customFormat="1" ht="14.25" customHeight="1" x14ac:dyDescent="0.25"/>
    <row r="597" s="1" customFormat="1" ht="14.25" customHeight="1" x14ac:dyDescent="0.25"/>
    <row r="598" s="1" customFormat="1" ht="14.25" customHeight="1" x14ac:dyDescent="0.25"/>
    <row r="599" s="1" customFormat="1" ht="14.25" customHeight="1" x14ac:dyDescent="0.25"/>
    <row r="600" s="1" customFormat="1" ht="14.25" customHeight="1" x14ac:dyDescent="0.25"/>
    <row r="601" s="1" customFormat="1" ht="14.25" customHeight="1" x14ac:dyDescent="0.25"/>
    <row r="602" s="1" customFormat="1" ht="14.25" customHeight="1" x14ac:dyDescent="0.25"/>
    <row r="603" s="1" customFormat="1" ht="14.25" customHeight="1" x14ac:dyDescent="0.25"/>
    <row r="604" s="1" customFormat="1" ht="14.25" customHeight="1" x14ac:dyDescent="0.25"/>
    <row r="605" s="1" customFormat="1" ht="14.25" customHeight="1" x14ac:dyDescent="0.25"/>
    <row r="606" s="1" customFormat="1" ht="14.25" customHeight="1" x14ac:dyDescent="0.25"/>
    <row r="607" s="1" customFormat="1" ht="14.25" customHeight="1" x14ac:dyDescent="0.25"/>
    <row r="608" s="1" customFormat="1" ht="14.25" customHeight="1" x14ac:dyDescent="0.25"/>
    <row r="609" s="1" customFormat="1" ht="14.25" customHeight="1" x14ac:dyDescent="0.25"/>
    <row r="610" s="1" customFormat="1" ht="14.25" customHeight="1" x14ac:dyDescent="0.25"/>
    <row r="611" s="1" customFormat="1" ht="14.25" customHeight="1" x14ac:dyDescent="0.25"/>
    <row r="612" s="1" customFormat="1" ht="14.25" customHeight="1" x14ac:dyDescent="0.25"/>
    <row r="613" s="1" customFormat="1" ht="14.25" customHeight="1" x14ac:dyDescent="0.25"/>
    <row r="614" s="1" customFormat="1" ht="14.25" customHeight="1" x14ac:dyDescent="0.25"/>
    <row r="615" s="1" customFormat="1" ht="14.25" customHeight="1" x14ac:dyDescent="0.25"/>
    <row r="616" s="1" customFormat="1" ht="14.25" customHeight="1" x14ac:dyDescent="0.25"/>
    <row r="617" s="1" customFormat="1" ht="14.25" customHeight="1" x14ac:dyDescent="0.25"/>
    <row r="618" s="1" customFormat="1" ht="14.25" customHeight="1" x14ac:dyDescent="0.25"/>
    <row r="619" s="1" customFormat="1" ht="14.25" customHeight="1" x14ac:dyDescent="0.25"/>
    <row r="620" s="1" customFormat="1" ht="14.25" customHeight="1" x14ac:dyDescent="0.25"/>
    <row r="621" s="1" customFormat="1" ht="14.25" customHeight="1" x14ac:dyDescent="0.25"/>
    <row r="622" s="1" customFormat="1" ht="14.25" customHeight="1" x14ac:dyDescent="0.25"/>
    <row r="623" s="1" customFormat="1" ht="14.25" customHeight="1" x14ac:dyDescent="0.25"/>
    <row r="624" s="1" customFormat="1" ht="14.25" customHeight="1" x14ac:dyDescent="0.25"/>
    <row r="625" s="1" customFormat="1" ht="14.25" customHeight="1" x14ac:dyDescent="0.25"/>
    <row r="626" s="1" customFormat="1" ht="14.25" customHeight="1" x14ac:dyDescent="0.25"/>
    <row r="627" s="1" customFormat="1" ht="14.25" customHeight="1" x14ac:dyDescent="0.25"/>
    <row r="628" s="1" customFormat="1" ht="14.25" customHeight="1" x14ac:dyDescent="0.25"/>
    <row r="629" s="1" customFormat="1" ht="14.25" customHeight="1" x14ac:dyDescent="0.25"/>
    <row r="630" s="1" customFormat="1" ht="14.25" customHeight="1" x14ac:dyDescent="0.25"/>
    <row r="631" s="1" customFormat="1" ht="14.25" customHeight="1" x14ac:dyDescent="0.25"/>
    <row r="632" s="1" customFormat="1" ht="14.25" customHeight="1" x14ac:dyDescent="0.25"/>
    <row r="633" s="1" customFormat="1" ht="14.25" customHeight="1" x14ac:dyDescent="0.25"/>
    <row r="634" s="1" customFormat="1" ht="14.25" customHeight="1" x14ac:dyDescent="0.25"/>
    <row r="635" s="1" customFormat="1" ht="14.25" customHeight="1" x14ac:dyDescent="0.25"/>
    <row r="636" s="1" customFormat="1" ht="14.25" customHeight="1" x14ac:dyDescent="0.25"/>
    <row r="637" s="1" customFormat="1" ht="14.25" customHeight="1" x14ac:dyDescent="0.25"/>
    <row r="638" s="1" customFormat="1" ht="14.25" customHeight="1" x14ac:dyDescent="0.25"/>
    <row r="639" s="1" customFormat="1" ht="14.25" customHeight="1" x14ac:dyDescent="0.25"/>
    <row r="640" s="1" customFormat="1" ht="14.25" customHeight="1" x14ac:dyDescent="0.25"/>
    <row r="641" s="1" customFormat="1" ht="14.25" customHeight="1" x14ac:dyDescent="0.25"/>
    <row r="642" s="1" customFormat="1" ht="14.25" customHeight="1" x14ac:dyDescent="0.25"/>
    <row r="643" s="1" customFormat="1" ht="14.25" customHeight="1" x14ac:dyDescent="0.25"/>
    <row r="644" s="1" customFormat="1" ht="14.25" customHeight="1" x14ac:dyDescent="0.25"/>
    <row r="645" s="1" customFormat="1" ht="14.25" customHeight="1" x14ac:dyDescent="0.25"/>
    <row r="646" s="1" customFormat="1" ht="14.25" customHeight="1" x14ac:dyDescent="0.25"/>
    <row r="647" s="1" customFormat="1" ht="14.25" customHeight="1" x14ac:dyDescent="0.25"/>
    <row r="648" s="1" customFormat="1" ht="14.25" customHeight="1" x14ac:dyDescent="0.25"/>
    <row r="649" s="1" customFormat="1" ht="14.25" customHeight="1" x14ac:dyDescent="0.25"/>
    <row r="650" s="1" customFormat="1" ht="14.25" customHeight="1" x14ac:dyDescent="0.25"/>
    <row r="651" s="1" customFormat="1" ht="14.25" customHeight="1" x14ac:dyDescent="0.25"/>
    <row r="652" s="1" customFormat="1" ht="14.25" customHeight="1" x14ac:dyDescent="0.25"/>
    <row r="653" s="1" customFormat="1" ht="14.25" customHeight="1" x14ac:dyDescent="0.25"/>
    <row r="654" s="1" customFormat="1" ht="14.25" customHeight="1" x14ac:dyDescent="0.25"/>
    <row r="655" s="1" customFormat="1" ht="14.25" customHeight="1" x14ac:dyDescent="0.25"/>
    <row r="656" s="1" customFormat="1" ht="14.25" customHeight="1" x14ac:dyDescent="0.25"/>
    <row r="657" s="1" customFormat="1" ht="14.25" customHeight="1" x14ac:dyDescent="0.25"/>
    <row r="658" s="1" customFormat="1" ht="14.25" customHeight="1" x14ac:dyDescent="0.25"/>
    <row r="659" s="1" customFormat="1" ht="14.25" customHeight="1" x14ac:dyDescent="0.25"/>
    <row r="660" s="1" customFormat="1" ht="14.25" customHeight="1" x14ac:dyDescent="0.25"/>
    <row r="661" s="1" customFormat="1" ht="14.25" customHeight="1" x14ac:dyDescent="0.25"/>
    <row r="662" s="1" customFormat="1" ht="14.25" customHeight="1" x14ac:dyDescent="0.25"/>
    <row r="663" s="1" customFormat="1" ht="14.25" customHeight="1" x14ac:dyDescent="0.25"/>
    <row r="664" s="1" customFormat="1" ht="14.25" customHeight="1" x14ac:dyDescent="0.25"/>
    <row r="665" s="1" customFormat="1" ht="14.25" customHeight="1" x14ac:dyDescent="0.25"/>
    <row r="666" s="1" customFormat="1" ht="14.25" customHeight="1" x14ac:dyDescent="0.25"/>
    <row r="667" s="1" customFormat="1" ht="14.25" customHeight="1" x14ac:dyDescent="0.25"/>
    <row r="668" s="1" customFormat="1" ht="14.25" customHeight="1" x14ac:dyDescent="0.25"/>
    <row r="669" s="1" customFormat="1" ht="14.25" customHeight="1" x14ac:dyDescent="0.25"/>
    <row r="670" s="1" customFormat="1" ht="14.25" customHeight="1" x14ac:dyDescent="0.25"/>
    <row r="671" s="1" customFormat="1" ht="14.25" customHeight="1" x14ac:dyDescent="0.25"/>
    <row r="672" s="1" customFormat="1" ht="14.25" customHeight="1" x14ac:dyDescent="0.25"/>
    <row r="673" s="1" customFormat="1" ht="14.25" customHeight="1" x14ac:dyDescent="0.25"/>
    <row r="674" s="1" customFormat="1" ht="14.25" customHeight="1" x14ac:dyDescent="0.25"/>
    <row r="675" s="1" customFormat="1" ht="14.25" customHeight="1" x14ac:dyDescent="0.25"/>
    <row r="676" s="1" customFormat="1" ht="14.25" customHeight="1" x14ac:dyDescent="0.25"/>
    <row r="677" s="1" customFormat="1" ht="14.25" customHeight="1" x14ac:dyDescent="0.25"/>
    <row r="678" s="1" customFormat="1" ht="14.25" customHeight="1" x14ac:dyDescent="0.25"/>
    <row r="679" s="1" customFormat="1" ht="14.25" customHeight="1" x14ac:dyDescent="0.25"/>
    <row r="680" s="1" customFormat="1" ht="14.25" customHeight="1" x14ac:dyDescent="0.25"/>
    <row r="681" s="1" customFormat="1" ht="14.25" customHeight="1" x14ac:dyDescent="0.25"/>
    <row r="682" s="1" customFormat="1" ht="14.25" customHeight="1" x14ac:dyDescent="0.25"/>
    <row r="683" s="1" customFormat="1" ht="14.25" customHeight="1" x14ac:dyDescent="0.25"/>
    <row r="684" s="1" customFormat="1" ht="14.25" customHeight="1" x14ac:dyDescent="0.25"/>
    <row r="685" s="1" customFormat="1" ht="14.25" customHeight="1" x14ac:dyDescent="0.25"/>
    <row r="686" s="1" customFormat="1" ht="14.25" customHeight="1" x14ac:dyDescent="0.25"/>
    <row r="687" s="1" customFormat="1" ht="14.25" customHeight="1" x14ac:dyDescent="0.25"/>
    <row r="688" s="1" customFormat="1" ht="14.25" customHeight="1" x14ac:dyDescent="0.25"/>
    <row r="689" s="1" customFormat="1" ht="14.25" customHeight="1" x14ac:dyDescent="0.25"/>
    <row r="690" s="1" customFormat="1" ht="14.25" customHeight="1" x14ac:dyDescent="0.25"/>
    <row r="691" s="1" customFormat="1" ht="14.25" customHeight="1" x14ac:dyDescent="0.25"/>
    <row r="692" s="1" customFormat="1" ht="14.25" customHeight="1" x14ac:dyDescent="0.25"/>
    <row r="693" s="1" customFormat="1" ht="14.25" customHeight="1" x14ac:dyDescent="0.25"/>
    <row r="694" s="1" customFormat="1" ht="14.25" customHeight="1" x14ac:dyDescent="0.25"/>
    <row r="695" s="1" customFormat="1" ht="14.25" customHeight="1" x14ac:dyDescent="0.25"/>
    <row r="696" s="1" customFormat="1" ht="14.25" customHeight="1" x14ac:dyDescent="0.25"/>
    <row r="697" s="1" customFormat="1" ht="14.25" customHeight="1" x14ac:dyDescent="0.25"/>
    <row r="698" s="1" customFormat="1" ht="14.25" customHeight="1" x14ac:dyDescent="0.25"/>
    <row r="699" s="1" customFormat="1" ht="14.25" customHeight="1" x14ac:dyDescent="0.25"/>
    <row r="700" s="1" customFormat="1" ht="14.25" customHeight="1" x14ac:dyDescent="0.25"/>
    <row r="701" s="1" customFormat="1" ht="14.25" customHeight="1" x14ac:dyDescent="0.25"/>
    <row r="702" s="1" customFormat="1" ht="14.25" customHeight="1" x14ac:dyDescent="0.25"/>
    <row r="703" s="1" customFormat="1" ht="14.25" customHeight="1" x14ac:dyDescent="0.25"/>
    <row r="704" s="1" customFormat="1" ht="14.25" customHeight="1" x14ac:dyDescent="0.25"/>
    <row r="705" s="1" customFormat="1" ht="14.25" customHeight="1" x14ac:dyDescent="0.25"/>
    <row r="706" s="1" customFormat="1" ht="14.25" customHeight="1" x14ac:dyDescent="0.25"/>
    <row r="707" s="1" customFormat="1" ht="14.25" customHeight="1" x14ac:dyDescent="0.25"/>
    <row r="708" s="1" customFormat="1" ht="14.25" customHeight="1" x14ac:dyDescent="0.25"/>
    <row r="709" s="1" customFormat="1" ht="14.25" customHeight="1" x14ac:dyDescent="0.25"/>
    <row r="710" s="1" customFormat="1" ht="14.25" customHeight="1" x14ac:dyDescent="0.25"/>
    <row r="711" s="1" customFormat="1" ht="14.25" customHeight="1" x14ac:dyDescent="0.25"/>
    <row r="712" s="1" customFormat="1" ht="14.25" customHeight="1" x14ac:dyDescent="0.25"/>
    <row r="713" s="1" customFormat="1" ht="14.25" customHeight="1" x14ac:dyDescent="0.25"/>
    <row r="714" s="1" customFormat="1" ht="14.25" customHeight="1" x14ac:dyDescent="0.25"/>
    <row r="715" s="1" customFormat="1" ht="14.25" customHeight="1" x14ac:dyDescent="0.25"/>
    <row r="716" s="1" customFormat="1" ht="14.25" customHeight="1" x14ac:dyDescent="0.25"/>
    <row r="717" s="1" customFormat="1" ht="14.25" customHeight="1" x14ac:dyDescent="0.25"/>
    <row r="718" s="1" customFormat="1" ht="14.25" customHeight="1" x14ac:dyDescent="0.25"/>
    <row r="719" s="1" customFormat="1" ht="14.25" customHeight="1" x14ac:dyDescent="0.25"/>
    <row r="720" s="1" customFormat="1" ht="14.25" customHeight="1" x14ac:dyDescent="0.25"/>
    <row r="721" s="1" customFormat="1" ht="14.25" customHeight="1" x14ac:dyDescent="0.25"/>
    <row r="722" s="1" customFormat="1" ht="14.25" customHeight="1" x14ac:dyDescent="0.25"/>
    <row r="723" s="1" customFormat="1" ht="14.25" customHeight="1" x14ac:dyDescent="0.25"/>
    <row r="724" s="1" customFormat="1" ht="14.25" customHeight="1" x14ac:dyDescent="0.25"/>
    <row r="725" s="1" customFormat="1" ht="14.25" customHeight="1" x14ac:dyDescent="0.25"/>
    <row r="726" s="1" customFormat="1" ht="14.25" customHeight="1" x14ac:dyDescent="0.25"/>
    <row r="727" s="1" customFormat="1" ht="14.25" customHeight="1" x14ac:dyDescent="0.25"/>
    <row r="728" s="1" customFormat="1" ht="14.25" customHeight="1" x14ac:dyDescent="0.25"/>
    <row r="729" s="1" customFormat="1" ht="14.25" customHeight="1" x14ac:dyDescent="0.25"/>
    <row r="730" s="1" customFormat="1" ht="14.25" customHeight="1" x14ac:dyDescent="0.25"/>
    <row r="731" s="1" customFormat="1" ht="14.25" customHeight="1" x14ac:dyDescent="0.25"/>
    <row r="732" s="1" customFormat="1" ht="14.25" customHeight="1" x14ac:dyDescent="0.25"/>
    <row r="733" s="1" customFormat="1" ht="14.25" customHeight="1" x14ac:dyDescent="0.25"/>
    <row r="734" s="1" customFormat="1" ht="14.25" customHeight="1" x14ac:dyDescent="0.25"/>
    <row r="735" s="1" customFormat="1" ht="14.25" customHeight="1" x14ac:dyDescent="0.25"/>
    <row r="736" s="1" customFormat="1" ht="14.25" customHeight="1" x14ac:dyDescent="0.25"/>
    <row r="737" s="1" customFormat="1" ht="14.25" customHeight="1" x14ac:dyDescent="0.25"/>
    <row r="738" s="1" customFormat="1" ht="14.25" customHeight="1" x14ac:dyDescent="0.25"/>
    <row r="739" s="1" customFormat="1" ht="14.25" customHeight="1" x14ac:dyDescent="0.25"/>
    <row r="740" s="1" customFormat="1" ht="14.25" customHeight="1" x14ac:dyDescent="0.25"/>
    <row r="741" s="1" customFormat="1" ht="14.25" customHeight="1" x14ac:dyDescent="0.25"/>
    <row r="742" s="1" customFormat="1" ht="14.25" customHeight="1" x14ac:dyDescent="0.25"/>
    <row r="743" s="1" customFormat="1" ht="14.25" customHeight="1" x14ac:dyDescent="0.25"/>
    <row r="744" s="1" customFormat="1" ht="14.25" customHeight="1" x14ac:dyDescent="0.25"/>
    <row r="745" s="1" customFormat="1" ht="14.25" customHeight="1" x14ac:dyDescent="0.25"/>
    <row r="746" s="1" customFormat="1" ht="14.25" customHeight="1" x14ac:dyDescent="0.25"/>
    <row r="747" s="1" customFormat="1" ht="14.25" customHeight="1" x14ac:dyDescent="0.25"/>
    <row r="748" s="1" customFormat="1" ht="14.25" customHeight="1" x14ac:dyDescent="0.25"/>
    <row r="749" s="1" customFormat="1" ht="14.25" customHeight="1" x14ac:dyDescent="0.25"/>
    <row r="750" s="1" customFormat="1" ht="14.25" customHeight="1" x14ac:dyDescent="0.25"/>
    <row r="751" s="1" customFormat="1" ht="14.25" customHeight="1" x14ac:dyDescent="0.25"/>
    <row r="752" s="1" customFormat="1" ht="14.25" customHeight="1" x14ac:dyDescent="0.25"/>
    <row r="753" s="1" customFormat="1" ht="14.25" customHeight="1" x14ac:dyDescent="0.25"/>
    <row r="754" s="1" customFormat="1" ht="14.25" customHeight="1" x14ac:dyDescent="0.25"/>
    <row r="755" s="1" customFormat="1" ht="14.25" customHeight="1" x14ac:dyDescent="0.25"/>
    <row r="756" s="1" customFormat="1" ht="14.25" customHeight="1" x14ac:dyDescent="0.25"/>
    <row r="757" s="1" customFormat="1" ht="14.25" customHeight="1" x14ac:dyDescent="0.25"/>
    <row r="758" s="1" customFormat="1" ht="14.25" customHeight="1" x14ac:dyDescent="0.25"/>
    <row r="759" s="1" customFormat="1" ht="14.25" customHeight="1" x14ac:dyDescent="0.25"/>
    <row r="760" s="1" customFormat="1" ht="14.25" customHeight="1" x14ac:dyDescent="0.25"/>
    <row r="761" s="1" customFormat="1" ht="14.25" customHeight="1" x14ac:dyDescent="0.25"/>
    <row r="762" s="1" customFormat="1" ht="14.25" customHeight="1" x14ac:dyDescent="0.25"/>
    <row r="763" s="1" customFormat="1" ht="14.25" customHeight="1" x14ac:dyDescent="0.25"/>
    <row r="764" s="1" customFormat="1" ht="14.25" customHeight="1" x14ac:dyDescent="0.25"/>
    <row r="765" s="1" customFormat="1" ht="14.25" customHeight="1" x14ac:dyDescent="0.25"/>
    <row r="766" s="1" customFormat="1" ht="14.25" customHeight="1" x14ac:dyDescent="0.25"/>
    <row r="767" s="1" customFormat="1" ht="14.25" customHeight="1" x14ac:dyDescent="0.25"/>
    <row r="768" s="1" customFormat="1" ht="14.25" customHeight="1" x14ac:dyDescent="0.25"/>
    <row r="769" s="1" customFormat="1" ht="14.25" customHeight="1" x14ac:dyDescent="0.25"/>
    <row r="770" s="1" customFormat="1" ht="14.25" customHeight="1" x14ac:dyDescent="0.25"/>
    <row r="771" s="1" customFormat="1" ht="14.25" customHeight="1" x14ac:dyDescent="0.25"/>
    <row r="772" s="1" customFormat="1" ht="14.25" customHeight="1" x14ac:dyDescent="0.25"/>
    <row r="773" s="1" customFormat="1" ht="14.25" customHeight="1" x14ac:dyDescent="0.25"/>
    <row r="774" s="1" customFormat="1" ht="14.25" customHeight="1" x14ac:dyDescent="0.25"/>
    <row r="775" s="1" customFormat="1" ht="14.25" customHeight="1" x14ac:dyDescent="0.25"/>
    <row r="776" s="1" customFormat="1" ht="14.25" customHeight="1" x14ac:dyDescent="0.25"/>
    <row r="777" s="1" customFormat="1" ht="14.25" customHeight="1" x14ac:dyDescent="0.25"/>
    <row r="778" s="1" customFormat="1" ht="14.25" customHeight="1" x14ac:dyDescent="0.25"/>
    <row r="779" s="1" customFormat="1" ht="14.25" customHeight="1" x14ac:dyDescent="0.25"/>
    <row r="780" s="1" customFormat="1" ht="14.25" customHeight="1" x14ac:dyDescent="0.25"/>
    <row r="781" s="1" customFormat="1" ht="14.25" customHeight="1" x14ac:dyDescent="0.25"/>
    <row r="782" s="1" customFormat="1" ht="14.25" customHeight="1" x14ac:dyDescent="0.25"/>
    <row r="783" s="1" customFormat="1" ht="14.25" customHeight="1" x14ac:dyDescent="0.25"/>
    <row r="784" s="1" customFormat="1" ht="14.25" customHeight="1" x14ac:dyDescent="0.25"/>
    <row r="785" s="1" customFormat="1" ht="14.25" customHeight="1" x14ac:dyDescent="0.25"/>
    <row r="786" s="1" customFormat="1" ht="14.25" customHeight="1" x14ac:dyDescent="0.25"/>
    <row r="787" s="1" customFormat="1" ht="14.25" customHeight="1" x14ac:dyDescent="0.25"/>
    <row r="788" s="1" customFormat="1" ht="14.25" customHeight="1" x14ac:dyDescent="0.25"/>
    <row r="789" s="1" customFormat="1" ht="14.25" customHeight="1" x14ac:dyDescent="0.25"/>
    <row r="790" s="1" customFormat="1" ht="14.25" customHeight="1" x14ac:dyDescent="0.25"/>
    <row r="791" s="1" customFormat="1" ht="14.25" customHeight="1" x14ac:dyDescent="0.25"/>
    <row r="792" s="1" customFormat="1" ht="14.25" customHeight="1" x14ac:dyDescent="0.25"/>
    <row r="793" s="1" customFormat="1" ht="14.25" customHeight="1" x14ac:dyDescent="0.25"/>
    <row r="794" s="1" customFormat="1" ht="14.25" customHeight="1" x14ac:dyDescent="0.25"/>
    <row r="795" s="1" customFormat="1" ht="14.25" customHeight="1" x14ac:dyDescent="0.25"/>
    <row r="796" s="1" customFormat="1" ht="14.25" customHeight="1" x14ac:dyDescent="0.25"/>
    <row r="797" s="1" customFormat="1" ht="14.25" customHeight="1" x14ac:dyDescent="0.25"/>
    <row r="798" s="1" customFormat="1" ht="14.25" customHeight="1" x14ac:dyDescent="0.25"/>
    <row r="799" s="1" customFormat="1" ht="14.25" customHeight="1" x14ac:dyDescent="0.25"/>
    <row r="800" s="1" customFormat="1" ht="14.25" customHeight="1" x14ac:dyDescent="0.25"/>
    <row r="801" s="1" customFormat="1" ht="14.25" customHeight="1" x14ac:dyDescent="0.25"/>
    <row r="802" s="1" customFormat="1" ht="14.25" customHeight="1" x14ac:dyDescent="0.25"/>
    <row r="803" s="1" customFormat="1" ht="14.25" customHeight="1" x14ac:dyDescent="0.25"/>
    <row r="804" s="1" customFormat="1" ht="14.25" customHeight="1" x14ac:dyDescent="0.25"/>
    <row r="805" s="1" customFormat="1" ht="14.25" customHeight="1" x14ac:dyDescent="0.25"/>
    <row r="806" s="1" customFormat="1" ht="14.25" customHeight="1" x14ac:dyDescent="0.25"/>
    <row r="807" s="1" customFormat="1" ht="14.25" customHeight="1" x14ac:dyDescent="0.25"/>
    <row r="808" s="1" customFormat="1" ht="14.25" customHeight="1" x14ac:dyDescent="0.25"/>
    <row r="809" s="1" customFormat="1" ht="14.25" customHeight="1" x14ac:dyDescent="0.25"/>
    <row r="810" s="1" customFormat="1" ht="14.25" customHeight="1" x14ac:dyDescent="0.25"/>
    <row r="811" s="1" customFormat="1" ht="14.25" customHeight="1" x14ac:dyDescent="0.25"/>
    <row r="812" s="1" customFormat="1" ht="14.25" customHeight="1" x14ac:dyDescent="0.25"/>
    <row r="813" s="1" customFormat="1" ht="14.25" customHeight="1" x14ac:dyDescent="0.25"/>
    <row r="814" s="1" customFormat="1" ht="14.25" customHeight="1" x14ac:dyDescent="0.25"/>
    <row r="815" s="1" customFormat="1" ht="14.25" customHeight="1" x14ac:dyDescent="0.25"/>
    <row r="816" s="1" customFormat="1" ht="14.25" customHeight="1" x14ac:dyDescent="0.25"/>
    <row r="817" s="1" customFormat="1" ht="14.25" customHeight="1" x14ac:dyDescent="0.25"/>
    <row r="818" s="1" customFormat="1" ht="14.25" customHeight="1" x14ac:dyDescent="0.25"/>
    <row r="819" s="1" customFormat="1" ht="14.25" customHeight="1" x14ac:dyDescent="0.25"/>
    <row r="820" s="1" customFormat="1" ht="14.25" customHeight="1" x14ac:dyDescent="0.25"/>
    <row r="821" s="1" customFormat="1" ht="14.25" customHeight="1" x14ac:dyDescent="0.25"/>
    <row r="822" s="1" customFormat="1" ht="14.25" customHeight="1" x14ac:dyDescent="0.25"/>
    <row r="823" s="1" customFormat="1" ht="14.25" customHeight="1" x14ac:dyDescent="0.25"/>
    <row r="824" s="1" customFormat="1" ht="14.25" customHeight="1" x14ac:dyDescent="0.25"/>
    <row r="825" s="1" customFormat="1" ht="14.25" customHeight="1" x14ac:dyDescent="0.25"/>
    <row r="826" s="1" customFormat="1" ht="14.25" customHeight="1" x14ac:dyDescent="0.25"/>
    <row r="827" s="1" customFormat="1" ht="14.25" customHeight="1" x14ac:dyDescent="0.25"/>
    <row r="828" s="1" customFormat="1" ht="14.25" customHeight="1" x14ac:dyDescent="0.25"/>
    <row r="829" s="1" customFormat="1" ht="14.25" customHeight="1" x14ac:dyDescent="0.25"/>
    <row r="830" s="1" customFormat="1" ht="14.25" customHeight="1" x14ac:dyDescent="0.25"/>
    <row r="831" s="1" customFormat="1" ht="14.25" customHeight="1" x14ac:dyDescent="0.25"/>
    <row r="832" s="1" customFormat="1" ht="14.25" customHeight="1" x14ac:dyDescent="0.25"/>
    <row r="833" s="1" customFormat="1" ht="14.25" customHeight="1" x14ac:dyDescent="0.25"/>
    <row r="834" s="1" customFormat="1" ht="14.25" customHeight="1" x14ac:dyDescent="0.25"/>
    <row r="835" s="1" customFormat="1" ht="14.25" customHeight="1" x14ac:dyDescent="0.25"/>
    <row r="836" s="1" customFormat="1" ht="14.25" customHeight="1" x14ac:dyDescent="0.25"/>
    <row r="837" s="1" customFormat="1" ht="14.25" customHeight="1" x14ac:dyDescent="0.25"/>
    <row r="838" s="1" customFormat="1" ht="14.25" customHeight="1" x14ac:dyDescent="0.25"/>
    <row r="839" s="1" customFormat="1" ht="14.25" customHeight="1" x14ac:dyDescent="0.25"/>
    <row r="840" s="1" customFormat="1" ht="14.25" customHeight="1" x14ac:dyDescent="0.25"/>
    <row r="841" s="1" customFormat="1" ht="14.25" customHeight="1" x14ac:dyDescent="0.25"/>
    <row r="842" s="1" customFormat="1" ht="14.25" customHeight="1" x14ac:dyDescent="0.25"/>
    <row r="843" s="1" customFormat="1" ht="14.25" customHeight="1" x14ac:dyDescent="0.25"/>
    <row r="844" s="1" customFormat="1" ht="14.25" customHeight="1" x14ac:dyDescent="0.25"/>
    <row r="845" s="1" customFormat="1" ht="14.25" customHeight="1" x14ac:dyDescent="0.25"/>
    <row r="846" s="1" customFormat="1" ht="14.25" customHeight="1" x14ac:dyDescent="0.25"/>
    <row r="847" s="1" customFormat="1" ht="14.25" customHeight="1" x14ac:dyDescent="0.25"/>
    <row r="848" s="1" customFormat="1" ht="14.25" customHeight="1" x14ac:dyDescent="0.25"/>
    <row r="849" s="1" customFormat="1" ht="14.25" customHeight="1" x14ac:dyDescent="0.25"/>
    <row r="850" s="1" customFormat="1" ht="14.25" customHeight="1" x14ac:dyDescent="0.25"/>
    <row r="851" s="1" customFormat="1" ht="14.25" customHeight="1" x14ac:dyDescent="0.25"/>
    <row r="852" s="1" customFormat="1" ht="14.25" customHeight="1" x14ac:dyDescent="0.25"/>
    <row r="853" s="1" customFormat="1" ht="14.25" customHeight="1" x14ac:dyDescent="0.25"/>
    <row r="854" s="1" customFormat="1" ht="14.25" customHeight="1" x14ac:dyDescent="0.25"/>
    <row r="855" s="1" customFormat="1" ht="14.25" customHeight="1" x14ac:dyDescent="0.25"/>
    <row r="856" s="1" customFormat="1" ht="14.25" customHeight="1" x14ac:dyDescent="0.25"/>
    <row r="857" s="1" customFormat="1" ht="14.25" customHeight="1" x14ac:dyDescent="0.25"/>
    <row r="858" s="1" customFormat="1" ht="14.25" customHeight="1" x14ac:dyDescent="0.25"/>
    <row r="859" s="1" customFormat="1" ht="14.25" customHeight="1" x14ac:dyDescent="0.25"/>
    <row r="860" s="1" customFormat="1" ht="14.25" customHeight="1" x14ac:dyDescent="0.25"/>
    <row r="861" s="1" customFormat="1" ht="14.25" customHeight="1" x14ac:dyDescent="0.25"/>
    <row r="862" s="1" customFormat="1" ht="14.25" customHeight="1" x14ac:dyDescent="0.25"/>
    <row r="863" s="1" customFormat="1" ht="14.25" customHeight="1" x14ac:dyDescent="0.25"/>
    <row r="864" s="1" customFormat="1" ht="14.25" customHeight="1" x14ac:dyDescent="0.25"/>
    <row r="865" s="1" customFormat="1" ht="14.25" customHeight="1" x14ac:dyDescent="0.25"/>
    <row r="866" s="1" customFormat="1" ht="14.25" customHeight="1" x14ac:dyDescent="0.25"/>
    <row r="867" s="1" customFormat="1" ht="14.25" customHeight="1" x14ac:dyDescent="0.25"/>
    <row r="868" s="1" customFormat="1" ht="14.25" customHeight="1" x14ac:dyDescent="0.25"/>
    <row r="869" s="1" customFormat="1" ht="14.25" customHeight="1" x14ac:dyDescent="0.25"/>
    <row r="870" s="1" customFormat="1" ht="14.25" customHeight="1" x14ac:dyDescent="0.25"/>
    <row r="871" s="1" customFormat="1" ht="14.25" customHeight="1" x14ac:dyDescent="0.25"/>
    <row r="872" s="1" customFormat="1" ht="14.25" customHeight="1" x14ac:dyDescent="0.25"/>
    <row r="873" s="1" customFormat="1" ht="14.25" customHeight="1" x14ac:dyDescent="0.25"/>
    <row r="874" s="1" customFormat="1" ht="14.25" customHeight="1" x14ac:dyDescent="0.25"/>
    <row r="875" s="1" customFormat="1" ht="14.25" customHeight="1" x14ac:dyDescent="0.25"/>
    <row r="876" s="1" customFormat="1" ht="14.25" customHeight="1" x14ac:dyDescent="0.25"/>
    <row r="877" s="1" customFormat="1" ht="14.25" customHeight="1" x14ac:dyDescent="0.25"/>
    <row r="878" s="1" customFormat="1" ht="14.25" customHeight="1" x14ac:dyDescent="0.25"/>
    <row r="879" s="1" customFormat="1" ht="14.25" customHeight="1" x14ac:dyDescent="0.25"/>
    <row r="880" s="1" customFormat="1" ht="14.25" customHeight="1" x14ac:dyDescent="0.25"/>
    <row r="881" s="1" customFormat="1" ht="14.25" customHeight="1" x14ac:dyDescent="0.25"/>
    <row r="882" s="1" customFormat="1" ht="14.25" customHeight="1" x14ac:dyDescent="0.25"/>
    <row r="883" s="1" customFormat="1" ht="14.25" customHeight="1" x14ac:dyDescent="0.25"/>
    <row r="884" s="1" customFormat="1" ht="14.25" customHeight="1" x14ac:dyDescent="0.25"/>
    <row r="885" s="1" customFormat="1" ht="14.25" customHeight="1" x14ac:dyDescent="0.25"/>
    <row r="886" s="1" customFormat="1" ht="14.25" customHeight="1" x14ac:dyDescent="0.25"/>
    <row r="887" s="1" customFormat="1" ht="14.25" customHeight="1" x14ac:dyDescent="0.25"/>
    <row r="888" s="1" customFormat="1" ht="14.25" customHeight="1" x14ac:dyDescent="0.25"/>
    <row r="889" s="1" customFormat="1" ht="14.25" customHeight="1" x14ac:dyDescent="0.25"/>
    <row r="890" s="1" customFormat="1" ht="14.25" customHeight="1" x14ac:dyDescent="0.25"/>
    <row r="891" s="1" customFormat="1" ht="14.25" customHeight="1" x14ac:dyDescent="0.25"/>
    <row r="892" s="1" customFormat="1" ht="14.25" customHeight="1" x14ac:dyDescent="0.25"/>
    <row r="893" s="1" customFormat="1" ht="14.25" customHeight="1" x14ac:dyDescent="0.25"/>
    <row r="894" s="1" customFormat="1" ht="14.25" customHeight="1" x14ac:dyDescent="0.25"/>
    <row r="895" s="1" customFormat="1" ht="14.25" customHeight="1" x14ac:dyDescent="0.25"/>
    <row r="896" s="1" customFormat="1" ht="14.25" customHeight="1" x14ac:dyDescent="0.25"/>
    <row r="897" s="1" customFormat="1" ht="14.25" customHeight="1" x14ac:dyDescent="0.25"/>
    <row r="898" s="1" customFormat="1" ht="14.25" customHeight="1" x14ac:dyDescent="0.25"/>
    <row r="899" s="1" customFormat="1" ht="14.25" customHeight="1" x14ac:dyDescent="0.25"/>
    <row r="900" s="1" customFormat="1" ht="14.25" customHeight="1" x14ac:dyDescent="0.25"/>
    <row r="901" s="1" customFormat="1" ht="14.25" customHeight="1" x14ac:dyDescent="0.25"/>
    <row r="902" s="1" customFormat="1" ht="14.25" customHeight="1" x14ac:dyDescent="0.25"/>
    <row r="903" s="1" customFormat="1" ht="14.25" customHeight="1" x14ac:dyDescent="0.25"/>
    <row r="904" s="1" customFormat="1" ht="14.25" customHeight="1" x14ac:dyDescent="0.25"/>
    <row r="905" s="1" customFormat="1" ht="14.25" customHeight="1" x14ac:dyDescent="0.25"/>
    <row r="906" s="1" customFormat="1" ht="14.25" customHeight="1" x14ac:dyDescent="0.25"/>
    <row r="907" s="1" customFormat="1" ht="14.25" customHeight="1" x14ac:dyDescent="0.25"/>
    <row r="908" s="1" customFormat="1" ht="14.25" customHeight="1" x14ac:dyDescent="0.25"/>
    <row r="909" s="1" customFormat="1" ht="14.25" customHeight="1" x14ac:dyDescent="0.25"/>
    <row r="910" s="1" customFormat="1" ht="14.25" customHeight="1" x14ac:dyDescent="0.25"/>
    <row r="911" s="1" customFormat="1" ht="14.25" customHeight="1" x14ac:dyDescent="0.25"/>
    <row r="912" s="1" customFormat="1" ht="14.25" customHeight="1" x14ac:dyDescent="0.25"/>
    <row r="913" s="1" customFormat="1" ht="14.25" customHeight="1" x14ac:dyDescent="0.25"/>
    <row r="914" s="1" customFormat="1" ht="14.25" customHeight="1" x14ac:dyDescent="0.25"/>
    <row r="915" s="1" customFormat="1" ht="14.25" customHeight="1" x14ac:dyDescent="0.25"/>
    <row r="916" s="1" customFormat="1" ht="14.25" customHeight="1" x14ac:dyDescent="0.25"/>
    <row r="917" s="1" customFormat="1" ht="14.25" customHeight="1" x14ac:dyDescent="0.25"/>
    <row r="918" s="1" customFormat="1" ht="14.25" customHeight="1" x14ac:dyDescent="0.25"/>
    <row r="919" s="1" customFormat="1" ht="14.25" customHeight="1" x14ac:dyDescent="0.25"/>
    <row r="920" s="1" customFormat="1" ht="14.25" customHeight="1" x14ac:dyDescent="0.25"/>
    <row r="921" s="1" customFormat="1" ht="14.25" customHeight="1" x14ac:dyDescent="0.25"/>
    <row r="922" s="1" customFormat="1" ht="14.25" customHeight="1" x14ac:dyDescent="0.25"/>
    <row r="923" s="1" customFormat="1" ht="14.25" customHeight="1" x14ac:dyDescent="0.25"/>
    <row r="924" s="1" customFormat="1" ht="14.25" customHeight="1" x14ac:dyDescent="0.25"/>
    <row r="925" s="1" customFormat="1" ht="14.25" customHeight="1" x14ac:dyDescent="0.25"/>
    <row r="926" s="1" customFormat="1" ht="14.25" customHeight="1" x14ac:dyDescent="0.25"/>
    <row r="927" s="1" customFormat="1" ht="14.25" customHeight="1" x14ac:dyDescent="0.25"/>
    <row r="928" s="1" customFormat="1" ht="14.25" customHeight="1" x14ac:dyDescent="0.25"/>
    <row r="929" s="1" customFormat="1" ht="14.25" customHeight="1" x14ac:dyDescent="0.25"/>
    <row r="930" s="1" customFormat="1" ht="14.25" customHeight="1" x14ac:dyDescent="0.25"/>
    <row r="931" s="1" customFormat="1" ht="14.25" customHeight="1" x14ac:dyDescent="0.25"/>
    <row r="932" s="1" customFormat="1" ht="14.25" customHeight="1" x14ac:dyDescent="0.25"/>
    <row r="933" s="1" customFormat="1" ht="14.25" customHeight="1" x14ac:dyDescent="0.25"/>
    <row r="934" s="1" customFormat="1" ht="14.25" customHeight="1" x14ac:dyDescent="0.25"/>
    <row r="935" s="1" customFormat="1" ht="14.25" customHeight="1" x14ac:dyDescent="0.25"/>
    <row r="936" s="1" customFormat="1" ht="14.25" customHeight="1" x14ac:dyDescent="0.25"/>
    <row r="937" s="1" customFormat="1" ht="14.25" customHeight="1" x14ac:dyDescent="0.25"/>
    <row r="938" s="1" customFormat="1" ht="14.25" customHeight="1" x14ac:dyDescent="0.25"/>
    <row r="939" s="1" customFormat="1" ht="14.25" customHeight="1" x14ac:dyDescent="0.25"/>
    <row r="940" s="1" customFormat="1" ht="14.25" customHeight="1" x14ac:dyDescent="0.25"/>
    <row r="941" s="1" customFormat="1" ht="14.25" customHeight="1" x14ac:dyDescent="0.25"/>
    <row r="942" s="1" customFormat="1" ht="14.25" customHeight="1" x14ac:dyDescent="0.25"/>
    <row r="943" s="1" customFormat="1" ht="14.25" customHeight="1" x14ac:dyDescent="0.25"/>
    <row r="944" s="1" customFormat="1" ht="14.25" customHeight="1" x14ac:dyDescent="0.25"/>
    <row r="945" s="1" customFormat="1" ht="14.25" customHeight="1" x14ac:dyDescent="0.25"/>
    <row r="946" s="1" customFormat="1" ht="14.25" customHeight="1" x14ac:dyDescent="0.25"/>
    <row r="947" s="1" customFormat="1" ht="14.25" customHeight="1" x14ac:dyDescent="0.25"/>
    <row r="948" s="1" customFormat="1" ht="14.25" customHeight="1" x14ac:dyDescent="0.25"/>
    <row r="949" s="1" customFormat="1" ht="14.25" customHeight="1" x14ac:dyDescent="0.25"/>
    <row r="950" s="1" customFormat="1" ht="14.25" customHeight="1" x14ac:dyDescent="0.25"/>
    <row r="951" s="1" customFormat="1" ht="14.25" customHeight="1" x14ac:dyDescent="0.25"/>
    <row r="952" s="1" customFormat="1" ht="14.25" customHeight="1" x14ac:dyDescent="0.25"/>
    <row r="953" s="1" customFormat="1" ht="14.25" customHeight="1" x14ac:dyDescent="0.25"/>
    <row r="954" s="1" customFormat="1" ht="14.25" customHeight="1" x14ac:dyDescent="0.25"/>
    <row r="955" s="1" customFormat="1" ht="14.25" customHeight="1" x14ac:dyDescent="0.25"/>
    <row r="956" s="1" customFormat="1" ht="14.25" customHeight="1" x14ac:dyDescent="0.25"/>
    <row r="957" s="1" customFormat="1" ht="14.25" customHeight="1" x14ac:dyDescent="0.25"/>
    <row r="958" s="1" customFormat="1" ht="14.25" customHeight="1" x14ac:dyDescent="0.25"/>
    <row r="959" s="1" customFormat="1" ht="14.25" customHeight="1" x14ac:dyDescent="0.25"/>
    <row r="960" s="1" customFormat="1" ht="14.25" customHeight="1" x14ac:dyDescent="0.25"/>
    <row r="961" s="1" customFormat="1" ht="14.25" customHeight="1" x14ac:dyDescent="0.25"/>
    <row r="962" s="1" customFormat="1" ht="14.25" customHeight="1" x14ac:dyDescent="0.25"/>
    <row r="963" s="1" customFormat="1" ht="14.25" customHeight="1" x14ac:dyDescent="0.25"/>
    <row r="964" s="1" customFormat="1" ht="14.25" customHeight="1" x14ac:dyDescent="0.25"/>
    <row r="965" s="1" customFormat="1" ht="14.25" customHeight="1" x14ac:dyDescent="0.25"/>
    <row r="966" s="1" customFormat="1" ht="14.25" customHeight="1" x14ac:dyDescent="0.25"/>
    <row r="967" s="1" customFormat="1" ht="14.25" customHeight="1" x14ac:dyDescent="0.25"/>
    <row r="968" s="1" customFormat="1" ht="14.25" customHeight="1" x14ac:dyDescent="0.25"/>
    <row r="969" s="1" customFormat="1" ht="14.25" customHeight="1" x14ac:dyDescent="0.25"/>
    <row r="970" s="1" customFormat="1" ht="14.25" customHeight="1" x14ac:dyDescent="0.25"/>
    <row r="971" s="1" customFormat="1" ht="14.25" customHeight="1" x14ac:dyDescent="0.25"/>
    <row r="972" s="1" customFormat="1" ht="14.25" customHeight="1" x14ac:dyDescent="0.25"/>
    <row r="973" s="1" customFormat="1" ht="14.25" customHeight="1" x14ac:dyDescent="0.25"/>
    <row r="974" s="1" customFormat="1" ht="14.25" customHeight="1" x14ac:dyDescent="0.25"/>
    <row r="975" s="1" customFormat="1" ht="14.25" customHeight="1" x14ac:dyDescent="0.25"/>
    <row r="976" s="1" customFormat="1" ht="14.25" customHeight="1" x14ac:dyDescent="0.25"/>
    <row r="977" s="1" customFormat="1" ht="14.25" customHeight="1" x14ac:dyDescent="0.25"/>
    <row r="978" s="1" customFormat="1" ht="14.25" customHeight="1" x14ac:dyDescent="0.25"/>
    <row r="979" s="1" customFormat="1" ht="14.25" customHeight="1" x14ac:dyDescent="0.25"/>
    <row r="980" s="1" customFormat="1" ht="14.25" customHeight="1" x14ac:dyDescent="0.25"/>
    <row r="981" s="1" customFormat="1" ht="14.25" customHeight="1" x14ac:dyDescent="0.25"/>
    <row r="982" s="1" customFormat="1" ht="14.25" customHeight="1" x14ac:dyDescent="0.25"/>
    <row r="983" s="1" customFormat="1" ht="14.25" customHeight="1" x14ac:dyDescent="0.25"/>
    <row r="984" s="1" customFormat="1" ht="14.25" customHeight="1" x14ac:dyDescent="0.25"/>
    <row r="985" s="1" customFormat="1" ht="14.25" customHeight="1" x14ac:dyDescent="0.25"/>
    <row r="986" s="1" customFormat="1" ht="14.25" customHeight="1" x14ac:dyDescent="0.25"/>
    <row r="987" s="1" customFormat="1" ht="14.25" customHeight="1" x14ac:dyDescent="0.25"/>
    <row r="988" s="1" customFormat="1" ht="14.25" customHeight="1" x14ac:dyDescent="0.25"/>
    <row r="989" s="1" customFormat="1" ht="14.25" customHeight="1" x14ac:dyDescent="0.25"/>
    <row r="990" s="1" customFormat="1" ht="14.25" customHeight="1" x14ac:dyDescent="0.25"/>
    <row r="991" s="1" customFormat="1" ht="14.25" customHeight="1" x14ac:dyDescent="0.25"/>
    <row r="992" s="1" customFormat="1" ht="14.25" customHeight="1" x14ac:dyDescent="0.25"/>
    <row r="993" s="1" customFormat="1" ht="14.25" customHeight="1" x14ac:dyDescent="0.25"/>
    <row r="994" s="1" customFormat="1" ht="14.25" customHeight="1" x14ac:dyDescent="0.25"/>
    <row r="995" s="1" customFormat="1" ht="14.25" customHeight="1" x14ac:dyDescent="0.25"/>
    <row r="996" s="1" customFormat="1" ht="14.25" customHeight="1" x14ac:dyDescent="0.25"/>
    <row r="997" s="1" customFormat="1" ht="14.25" customHeight="1" x14ac:dyDescent="0.25"/>
    <row r="998" s="1" customFormat="1" ht="14.25" customHeight="1" x14ac:dyDescent="0.25"/>
    <row r="999" s="1" customFormat="1" ht="14.25" customHeight="1" x14ac:dyDescent="0.25"/>
    <row r="1000" s="1" customFormat="1" ht="14.25" customHeight="1" x14ac:dyDescent="0.25"/>
  </sheetData>
  <mergeCells count="32">
    <mergeCell ref="K33:L33"/>
    <mergeCell ref="K28:L28"/>
    <mergeCell ref="K29:L29"/>
    <mergeCell ref="K30:L30"/>
    <mergeCell ref="K31:L31"/>
    <mergeCell ref="K32:L32"/>
    <mergeCell ref="K34:L34"/>
    <mergeCell ref="J37:K38"/>
    <mergeCell ref="L37:L38"/>
    <mergeCell ref="J35:K36"/>
    <mergeCell ref="L35:L36"/>
    <mergeCell ref="K24:L24"/>
    <mergeCell ref="K25:L25"/>
    <mergeCell ref="K26:L26"/>
    <mergeCell ref="K27:L27"/>
    <mergeCell ref="B26:C26"/>
    <mergeCell ref="B1:F2"/>
    <mergeCell ref="H1:L2"/>
    <mergeCell ref="H21:L22"/>
    <mergeCell ref="H23:I23"/>
    <mergeCell ref="H3:I3"/>
    <mergeCell ref="J15:K15"/>
    <mergeCell ref="J16:K16"/>
    <mergeCell ref="J17:K17"/>
    <mergeCell ref="J18:K18"/>
    <mergeCell ref="B3:C3"/>
    <mergeCell ref="D15:E15"/>
    <mergeCell ref="D16:E16"/>
    <mergeCell ref="D17:E17"/>
    <mergeCell ref="D18:E18"/>
    <mergeCell ref="D19:D23"/>
    <mergeCell ref="K23:L23"/>
  </mergeCells>
  <conditionalFormatting sqref="C36:C39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conditionalFormatting sqref="E19:E23">
    <cfRule type="colorScale" priority="10">
      <colorScale>
        <cfvo type="min"/>
        <cfvo type="max"/>
        <color rgb="FFFCFCFF"/>
        <color rgb="FF63BE7B"/>
      </colorScale>
    </cfRule>
  </conditionalFormatting>
  <conditionalFormatting sqref="F18">
    <cfRule type="colorScale" priority="11">
      <colorScale>
        <cfvo type="formula" val="-0.3"/>
        <cfvo type="formula" val="0"/>
        <cfvo type="formula" val="0.3"/>
        <color rgb="FFF8696B"/>
        <color rgb="FFFFEB84"/>
        <color rgb="FF63BE7B"/>
      </colorScale>
    </cfRule>
    <cfRule type="colorScale" priority="12">
      <colorScale>
        <cfvo type="formula" val="-0.3"/>
        <cfvo type="formula" val="0"/>
        <cfvo type="formula" val="0.3"/>
        <color theme="9"/>
        <color rgb="FFFFEB84"/>
        <color rgb="FFFF0000"/>
      </colorScale>
    </cfRule>
  </conditionalFormatting>
  <conditionalFormatting sqref="F19:F23">
    <cfRule type="colorScale" priority="13">
      <colorScale>
        <cfvo type="min"/>
        <cfvo type="max"/>
        <color rgb="FF63BE7B"/>
        <color rgb="FFFCFCFF"/>
      </colorScale>
    </cfRule>
  </conditionalFormatting>
  <conditionalFormatting sqref="K19:K20">
    <cfRule type="colorScale" priority="6">
      <colorScale>
        <cfvo type="min"/>
        <cfvo type="max"/>
        <color rgb="FFFCFCFF"/>
        <color rgb="FF63BE7B"/>
      </colorScale>
    </cfRule>
  </conditionalFormatting>
  <conditionalFormatting sqref="L18">
    <cfRule type="colorScale" priority="7">
      <colorScale>
        <cfvo type="formula" val="-0.3"/>
        <cfvo type="formula" val="0"/>
        <cfvo type="formula" val="0.3"/>
        <color rgb="FFF8696B"/>
        <color rgb="FFFFEB84"/>
        <color rgb="FF63BE7B"/>
      </colorScale>
    </cfRule>
    <cfRule type="colorScale" priority="8">
      <colorScale>
        <cfvo type="formula" val="-0.3"/>
        <cfvo type="formula" val="0"/>
        <cfvo type="formula" val="0.3"/>
        <color theme="9"/>
        <color rgb="FFFFEB84"/>
        <color rgb="FFFF0000"/>
      </colorScale>
    </cfRule>
  </conditionalFormatting>
  <conditionalFormatting sqref="L19:L20">
    <cfRule type="colorScale" priority="9">
      <colorScale>
        <cfvo type="min"/>
        <cfvo type="max"/>
        <color rgb="FF63BE7B"/>
        <color rgb="FFFCFCFF"/>
      </colorScale>
    </cfRule>
  </conditionalFormatting>
  <conditionalFormatting sqref="L37">
    <cfRule type="colorScale" priority="4">
      <colorScale>
        <cfvo type="formula" val="-0.3"/>
        <cfvo type="formula" val="0"/>
        <cfvo type="formula" val="0.3"/>
        <color rgb="FFF8696B"/>
        <color rgb="FFFFEB84"/>
        <color rgb="FF63BE7B"/>
      </colorScale>
    </cfRule>
    <cfRule type="colorScale" priority="5">
      <colorScale>
        <cfvo type="formula" val="-0.3"/>
        <cfvo type="formula" val="0"/>
        <cfvo type="formula" val="0.3"/>
        <color theme="9"/>
        <color rgb="FFFFEB84"/>
        <color rgb="FFFF0000"/>
      </colorScale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Suganda</dc:creator>
  <cp:lastModifiedBy>Dave Suganda</cp:lastModifiedBy>
  <dcterms:created xsi:type="dcterms:W3CDTF">2015-06-05T18:17:20Z</dcterms:created>
  <dcterms:modified xsi:type="dcterms:W3CDTF">2026-01-28T15:54:11Z</dcterms:modified>
</cp:coreProperties>
</file>